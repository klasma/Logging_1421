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46306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46306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46306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46306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6055-2024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46306</v>
      </c>
      <c r="F6" t="inlineStr">
        <is>
          <t>VÄSTRA GÖTALANDS LÄN</t>
        </is>
      </c>
      <c r="G6" t="inlineStr">
        <is>
          <t>ORUST</t>
        </is>
      </c>
      <c r="I6" t="n">
        <v>24.1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3</v>
      </c>
      <c r="V6" s="2" t="inlineStr">
        <is>
          <t>Lopplummer (aggregat)
Revlummer
Äkta lopplummer</t>
        </is>
      </c>
      <c r="W6">
        <f>HYPERLINK("https://klasma.github.io/Logging_1421/artfynd/A 6055-2024 artfynd.xlsx", "A 6055-2024")</f>
        <v/>
      </c>
      <c r="X6">
        <f>HYPERLINK("https://klasma.github.io/Logging_1421/kartor/A 6055-2024 karta.png", "A 6055-2024")</f>
        <v/>
      </c>
      <c r="Y6">
        <f>HYPERLINK("https://klasma.github.io/Logging_1421/kartor_geotiff/A 6055-2024 georefererad karta.tif", "A 6055-2024")</f>
        <v/>
      </c>
      <c r="AA6">
        <f>HYPERLINK("https://klasma.github.io/Logging_1421/klagomål/A 6055-2024 FSC-klagomål.docx", "A 6055-2024")</f>
        <v/>
      </c>
      <c r="AB6">
        <f>HYPERLINK("https://klasma.github.io/Logging_1421/klagomålsmail/A 6055-2024 FSC-klagomål mail.docx", "A 6055-2024")</f>
        <v/>
      </c>
      <c r="AC6">
        <f>HYPERLINK("https://klasma.github.io/Logging_1421/tillsyn/A 6055-2024 tillsynsbegäran.docx", "A 6055-2024")</f>
        <v/>
      </c>
      <c r="AD6">
        <f>HYPERLINK("https://klasma.github.io/Logging_1421/tillsynsmail/A 6055-2024 tillsynsbegäran mail.docx", "A 6055-2024")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46306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46306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46306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46306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5617-2024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46306</v>
      </c>
      <c r="F13" t="inlineStr">
        <is>
          <t>VÄSTRA GÖTALANDS LÄN</t>
        </is>
      </c>
      <c r="G13" t="inlineStr">
        <is>
          <t>ORUST</t>
        </is>
      </c>
      <c r="I13" t="n">
        <v>2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5617-2024 artfynd.xlsx", "A 5617-2024")</f>
        <v/>
      </c>
      <c r="X13">
        <f>HYPERLINK("https://klasma.github.io/Logging_1421/kartor/A 5617-2024 karta.png", "A 5617-2024")</f>
        <v/>
      </c>
      <c r="Y13">
        <f>HYPERLINK("https://klasma.github.io/Logging_1421/kartor_geotiff/A 5617-2024 georefererad karta.tif", "A 5617-2024")</f>
        <v/>
      </c>
      <c r="Z13">
        <f>HYPERLINK("https://klasma.github.io/Logging_1421/knärot/A 5617-2024 karta knärot.png", "A 5617-2024")</f>
        <v/>
      </c>
      <c r="AA13">
        <f>HYPERLINK("https://klasma.github.io/Logging_1421/klagomål/A 5617-2024 FSC-klagomål.docx", "A 5617-2024")</f>
        <v/>
      </c>
      <c r="AB13">
        <f>HYPERLINK("https://klasma.github.io/Logging_1421/klagomålsmail/A 5617-2024 FSC-klagomål mail.docx", "A 5617-2024")</f>
        <v/>
      </c>
      <c r="AC13">
        <f>HYPERLINK("https://klasma.github.io/Logging_1421/tillsyn/A 5617-2024 tillsynsbegäran.docx", "A 5617-2024")</f>
        <v/>
      </c>
      <c r="AD13">
        <f>HYPERLINK("https://klasma.github.io/Logging_1421/tillsynsmail/A 5617-2024 tillsynsbegäran mail.docx", "A 5617-2024")</f>
        <v/>
      </c>
    </row>
    <row r="14" ht="15" customHeight="1">
      <c r="A14" t="inlineStr">
        <is>
          <t>A 44233-2023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46306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44233-2023 artfynd.xlsx", "A 44233-2023")</f>
        <v/>
      </c>
      <c r="X14">
        <f>HYPERLINK("https://klasma.github.io/Logging_1421/kartor/A 44233-2023 karta.png", "A 44233-2023")</f>
        <v/>
      </c>
      <c r="Y14">
        <f>HYPERLINK("https://klasma.github.io/Logging_1421/kartor_geotiff/A 44233-2023 georefererad karta.tif", "A 44233-2023")</f>
        <v/>
      </c>
      <c r="Z14">
        <f>HYPERLINK("https://klasma.github.io/Logging_1421/knärot/A 44233-2023 karta knärot.png", "A 44233-2023")</f>
        <v/>
      </c>
      <c r="AA14">
        <f>HYPERLINK("https://klasma.github.io/Logging_1421/klagomål/A 44233-2023 FSC-klagomål.docx", "A 44233-2023")</f>
        <v/>
      </c>
      <c r="AB14">
        <f>HYPERLINK("https://klasma.github.io/Logging_1421/klagomålsmail/A 44233-2023 FSC-klagomål mail.docx", "A 44233-2023")</f>
        <v/>
      </c>
      <c r="AC14">
        <f>HYPERLINK("https://klasma.github.io/Logging_1421/tillsyn/A 44233-2023 tillsynsbegäran.docx", "A 44233-2023")</f>
        <v/>
      </c>
      <c r="AD14">
        <f>HYPERLINK("https://klasma.github.io/Logging_1421/tillsynsmail/A 44233-2023 tillsynsbegäran mail.docx", "A 44233-2023")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46306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46306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46306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6986-2024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46306</v>
      </c>
      <c r="F18" t="inlineStr">
        <is>
          <t>VÄSTRA GÖTALANDS LÄN</t>
        </is>
      </c>
      <c r="G18" t="inlineStr">
        <is>
          <t>ORUST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HYPERLINK("https://klasma.github.io/Logging_1421/artfynd/A 6986-2024 artfynd.xlsx", "A 6986-2024")</f>
        <v/>
      </c>
      <c r="X18">
        <f>HYPERLINK("https://klasma.github.io/Logging_1421/kartor/A 6986-2024 karta.png", "A 6986-2024")</f>
        <v/>
      </c>
      <c r="Y18">
        <f>HYPERLINK("https://klasma.github.io/Logging_1421/kartor_geotiff/A 6986-2024 georefererad karta.tif", "A 6986-2024")</f>
        <v/>
      </c>
      <c r="AA18">
        <f>HYPERLINK("https://klasma.github.io/Logging_1421/klagomål/A 6986-2024 FSC-klagomål.docx", "A 6986-2024")</f>
        <v/>
      </c>
      <c r="AB18">
        <f>HYPERLINK("https://klasma.github.io/Logging_1421/klagomålsmail/A 6986-2024 FSC-klagomål mail.docx", "A 6986-2024")</f>
        <v/>
      </c>
      <c r="AC18">
        <f>HYPERLINK("https://klasma.github.io/Logging_1421/tillsyn/A 6986-2024 tillsynsbegäran.docx", "A 6986-2024")</f>
        <v/>
      </c>
      <c r="AD18">
        <f>HYPERLINK("https://klasma.github.io/Logging_1421/tillsynsmail/A 6986-2024 tillsynsbegäran mail.docx", "A 6986-2024")</f>
        <v/>
      </c>
    </row>
    <row r="19" ht="15" customHeight="1">
      <c r="A19" t="inlineStr">
        <is>
          <t>A 20086-2023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46306</v>
      </c>
      <c r="F19" t="inlineStr">
        <is>
          <t>VÄSTRA GÖTALANDS LÄN</t>
        </is>
      </c>
      <c r="G19" t="inlineStr">
        <is>
          <t>ORUST</t>
        </is>
      </c>
      <c r="I19" t="n">
        <v>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20086-2023 artfynd.xlsx", "A 20086-2023")</f>
        <v/>
      </c>
      <c r="X19">
        <f>HYPERLINK("https://klasma.github.io/Logging_1421/kartor/A 20086-2023 karta.png", "A 20086-2023")</f>
        <v/>
      </c>
      <c r="Y19">
        <f>HYPERLINK("https://klasma.github.io/Logging_1421/kartor_geotiff/A 20086-2023 georefererad karta.tif", "A 20086-2023")</f>
        <v/>
      </c>
      <c r="Z19">
        <f>HYPERLINK("https://klasma.github.io/Logging_1421/knärot/A 20086-2023 karta knärot.png", "A 20086-2023")</f>
        <v/>
      </c>
      <c r="AA19">
        <f>HYPERLINK("https://klasma.github.io/Logging_1421/klagomål/A 20086-2023 FSC-klagomål.docx", "A 20086-2023")</f>
        <v/>
      </c>
      <c r="AB19">
        <f>HYPERLINK("https://klasma.github.io/Logging_1421/klagomålsmail/A 20086-2023 FSC-klagomål mail.docx", "A 20086-2023")</f>
        <v/>
      </c>
      <c r="AC19">
        <f>HYPERLINK("https://klasma.github.io/Logging_1421/tillsyn/A 20086-2023 tillsynsbegäran.docx", "A 20086-2023")</f>
        <v/>
      </c>
      <c r="AD19">
        <f>HYPERLINK("https://klasma.github.io/Logging_1421/tillsynsmail/A 20086-2023 tillsynsbegäran mail.docx", "A 20086-2023")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46306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46306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46306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46306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12722-2026 artfynd.xlsx", "A 12722-2026")</f>
        <v/>
      </c>
      <c r="X23">
        <f>HYPERLINK("https://klasma.github.io/Logging_1421/kartor/A 12722-2026 karta.png", "A 12722-2026")</f>
        <v/>
      </c>
      <c r="Y23">
        <f>HYPERLINK("https://klasma.github.io/Logging_1421/kartor_geotiff/A 12722-2026 georefererad karta.tif", "A 12722-2026")</f>
        <v/>
      </c>
      <c r="Z23">
        <f>HYPERLINK("https://klasma.github.io/Logging_1421/knärot/A 12722-2026 karta knärot.png", "A 12722-2026")</f>
        <v/>
      </c>
      <c r="AA23">
        <f>HYPERLINK("https://klasma.github.io/Logging_1421/klagomål/A 12722-2026 FSC-klagomål.docx", "A 12722-2026")</f>
        <v/>
      </c>
      <c r="AB23">
        <f>HYPERLINK("https://klasma.github.io/Logging_1421/klagomålsmail/A 12722-2026 FSC-klagomål mail.docx", "A 12722-2026")</f>
        <v/>
      </c>
      <c r="AC23">
        <f>HYPERLINK("https://klasma.github.io/Logging_1421/tillsyn/A 12722-2026 tillsynsbegäran.docx", "A 12722-2026")</f>
        <v/>
      </c>
      <c r="AD23">
        <f>HYPERLINK("https://klasma.github.io/Logging_1421/tillsynsmail/A 12722-2026 tillsynsbegäran mail.docx", "A 12722-2026")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46306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46306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46306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46306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46306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46306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46306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46306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46306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46306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73292-2021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46306</v>
      </c>
      <c r="F34" t="inlineStr">
        <is>
          <t>VÄSTRA GÖTALANDS LÄN</t>
        </is>
      </c>
      <c r="G34" t="inlineStr">
        <is>
          <t>ORUST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46306</v>
      </c>
      <c r="F35" t="inlineStr">
        <is>
          <t>VÄSTRA GÖTALANDS LÄN</t>
        </is>
      </c>
      <c r="G35" t="inlineStr">
        <is>
          <t>ORUST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46306</v>
      </c>
      <c r="F36" t="inlineStr">
        <is>
          <t>VÄSTRA GÖTALANDS LÄN</t>
        </is>
      </c>
      <c r="G36" t="inlineStr">
        <is>
          <t>ORUST</t>
        </is>
      </c>
      <c r="I36" t="n">
        <v>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46306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46306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46306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71890-2021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46306</v>
      </c>
      <c r="F40" t="inlineStr">
        <is>
          <t>VÄSTRA GÖTALANDS LÄN</t>
        </is>
      </c>
      <c r="G40" t="inlineStr">
        <is>
          <t>ORUST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46306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46306</v>
      </c>
      <c r="F42" t="inlineStr">
        <is>
          <t>VÄSTRA GÖTALANDS LÄN</t>
        </is>
      </c>
      <c r="G42" t="inlineStr">
        <is>
          <t>ORUST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46306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46306</v>
      </c>
      <c r="F44" t="inlineStr">
        <is>
          <t>VÄSTRA GÖTALANDS LÄN</t>
        </is>
      </c>
      <c r="G44" t="inlineStr">
        <is>
          <t>ORUST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46306</v>
      </c>
      <c r="F45" t="inlineStr">
        <is>
          <t>VÄSTRA GÖTALANDS LÄN</t>
        </is>
      </c>
      <c r="G45" t="inlineStr">
        <is>
          <t>ORUST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46306</v>
      </c>
      <c r="F46" t="inlineStr">
        <is>
          <t>VÄSTRA GÖTALANDS LÄN</t>
        </is>
      </c>
      <c r="G46" t="inlineStr">
        <is>
          <t>ORUST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46306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44655</v>
      </c>
      <c r="E48" s="1" t="n">
        <v>46306</v>
      </c>
      <c r="F48" t="inlineStr">
        <is>
          <t>VÄSTRA GÖTALANDS LÄN</t>
        </is>
      </c>
      <c r="G48" t="inlineStr">
        <is>
          <t>ORUST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45454</v>
      </c>
      <c r="E49" s="1" t="n">
        <v>46306</v>
      </c>
      <c r="F49" t="inlineStr">
        <is>
          <t>VÄSTRA GÖTALANDS LÄN</t>
        </is>
      </c>
      <c r="G49" t="inlineStr">
        <is>
          <t>ORUST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46306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46306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46306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44919</v>
      </c>
      <c r="E53" s="1" t="n">
        <v>46306</v>
      </c>
      <c r="F53" t="inlineStr">
        <is>
          <t>VÄSTRA GÖTALANDS LÄN</t>
        </is>
      </c>
      <c r="G53" t="inlineStr">
        <is>
          <t>ORUST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46306</v>
      </c>
      <c r="F54" t="inlineStr">
        <is>
          <t>VÄSTRA GÖTALANDS LÄN</t>
        </is>
      </c>
      <c r="G54" t="inlineStr">
        <is>
          <t>ORUST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46306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46306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45339</v>
      </c>
      <c r="E57" s="1" t="n">
        <v>46306</v>
      </c>
      <c r="F57" t="inlineStr">
        <is>
          <t>VÄSTRA GÖTALANDS LÄN</t>
        </is>
      </c>
      <c r="G57" t="inlineStr">
        <is>
          <t>ORUST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46306</v>
      </c>
      <c r="F58" t="inlineStr">
        <is>
          <t>VÄSTRA GÖTALANDS LÄN</t>
        </is>
      </c>
      <c r="G58" t="inlineStr">
        <is>
          <t>ORUST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46306</v>
      </c>
      <c r="F59" t="inlineStr">
        <is>
          <t>VÄSTRA GÖTALANDS LÄN</t>
        </is>
      </c>
      <c r="G59" t="inlineStr">
        <is>
          <t>ORUST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46306</v>
      </c>
      <c r="F60" t="inlineStr">
        <is>
          <t>VÄSTRA GÖTALANDS LÄN</t>
        </is>
      </c>
      <c r="G60" t="inlineStr">
        <is>
          <t>ORUST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45601</v>
      </c>
      <c r="E61" s="1" t="n">
        <v>46306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46306</v>
      </c>
      <c r="F62" t="inlineStr">
        <is>
          <t>VÄSTRA GÖTALANDS LÄN</t>
        </is>
      </c>
      <c r="G62" t="inlineStr">
        <is>
          <t>ORUST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45903</v>
      </c>
      <c r="E63" s="1" t="n">
        <v>46306</v>
      </c>
      <c r="F63" t="inlineStr">
        <is>
          <t>VÄSTRA GÖTALANDS LÄN</t>
        </is>
      </c>
      <c r="G63" t="inlineStr">
        <is>
          <t>ORUST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45343</v>
      </c>
      <c r="E64" s="1" t="n">
        <v>46306</v>
      </c>
      <c r="F64" t="inlineStr">
        <is>
          <t>VÄSTRA GÖTALANDS LÄN</t>
        </is>
      </c>
      <c r="G64" t="inlineStr">
        <is>
          <t>ORUST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46306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46306</v>
      </c>
      <c r="F66" t="inlineStr">
        <is>
          <t>VÄSTRA GÖTALANDS LÄN</t>
        </is>
      </c>
      <c r="G66" t="inlineStr">
        <is>
          <t>ORUST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46306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46306</v>
      </c>
      <c r="F68" t="inlineStr">
        <is>
          <t>VÄSTRA GÖTALANDS LÄN</t>
        </is>
      </c>
      <c r="G68" t="inlineStr">
        <is>
          <t>ORUST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46306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45511</v>
      </c>
      <c r="E70" s="1" t="n">
        <v>46306</v>
      </c>
      <c r="F70" t="inlineStr">
        <is>
          <t>VÄSTRA GÖTALANDS LÄN</t>
        </is>
      </c>
      <c r="G70" t="inlineStr">
        <is>
          <t>ORUST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45275</v>
      </c>
      <c r="E71" s="1" t="n">
        <v>46306</v>
      </c>
      <c r="F71" t="inlineStr">
        <is>
          <t>VÄSTRA GÖTALANDS LÄN</t>
        </is>
      </c>
      <c r="G71" t="inlineStr">
        <is>
          <t>ORUST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46306</v>
      </c>
      <c r="F72" t="inlineStr">
        <is>
          <t>VÄSTRA GÖTALANDS LÄN</t>
        </is>
      </c>
      <c r="G72" t="inlineStr">
        <is>
          <t>ORUST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46306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46306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45790</v>
      </c>
      <c r="E75" s="1" t="n">
        <v>46306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45718</v>
      </c>
      <c r="E76" s="1" t="n">
        <v>46306</v>
      </c>
      <c r="F76" t="inlineStr">
        <is>
          <t>VÄSTRA GÖTALANDS LÄN</t>
        </is>
      </c>
      <c r="G76" t="inlineStr">
        <is>
          <t>ORUST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46306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46306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46306</v>
      </c>
      <c r="F79" t="inlineStr">
        <is>
          <t>VÄSTRA GÖTALANDS LÄN</t>
        </is>
      </c>
      <c r="G79" t="inlineStr">
        <is>
          <t>ORUST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46306</v>
      </c>
      <c r="F80" t="inlineStr">
        <is>
          <t>VÄSTRA GÖTALANDS LÄN</t>
        </is>
      </c>
      <c r="G80" t="inlineStr">
        <is>
          <t>ORUST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45742</v>
      </c>
      <c r="E81" s="1" t="n">
        <v>46306</v>
      </c>
      <c r="F81" t="inlineStr">
        <is>
          <t>VÄSTRA GÖTALANDS LÄN</t>
        </is>
      </c>
      <c r="G81" t="inlineStr">
        <is>
          <t>ORUST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46306</v>
      </c>
      <c r="F82" t="inlineStr">
        <is>
          <t>VÄSTRA GÖTALANDS LÄN</t>
        </is>
      </c>
      <c r="G82" t="inlineStr">
        <is>
          <t>ORUST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46306</v>
      </c>
      <c r="F83" t="inlineStr">
        <is>
          <t>VÄSTRA GÖTALANDS LÄN</t>
        </is>
      </c>
      <c r="G83" t="inlineStr">
        <is>
          <t>ORUST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46306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46306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46306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46306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46306</v>
      </c>
      <c r="F88" t="inlineStr">
        <is>
          <t>VÄSTRA GÖTALANDS LÄN</t>
        </is>
      </c>
      <c r="G88" t="inlineStr">
        <is>
          <t>ORUST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46306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46306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46306</v>
      </c>
      <c r="F91" t="inlineStr">
        <is>
          <t>VÄSTRA GÖTALANDS LÄN</t>
        </is>
      </c>
      <c r="G91" t="inlineStr">
        <is>
          <t>ORUST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46306</v>
      </c>
      <c r="F92" t="inlineStr">
        <is>
          <t>VÄSTRA GÖTALANDS LÄN</t>
        </is>
      </c>
      <c r="G92" t="inlineStr">
        <is>
          <t>ORUST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46306</v>
      </c>
      <c r="F93" t="inlineStr">
        <is>
          <t>VÄSTRA GÖTALANDS LÄN</t>
        </is>
      </c>
      <c r="G93" t="inlineStr">
        <is>
          <t>ORUST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46306</v>
      </c>
      <c r="F94" t="inlineStr">
        <is>
          <t>VÄSTRA GÖTALANDS LÄN</t>
        </is>
      </c>
      <c r="G94" t="inlineStr">
        <is>
          <t>ORUST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45130</v>
      </c>
      <c r="E95" s="1" t="n">
        <v>46306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46306</v>
      </c>
      <c r="F96" t="inlineStr">
        <is>
          <t>VÄSTRA GÖTALANDS LÄN</t>
        </is>
      </c>
      <c r="G96" t="inlineStr">
        <is>
          <t>ORUST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46306</v>
      </c>
      <c r="F97" t="inlineStr">
        <is>
          <t>VÄSTRA GÖTALANDS LÄN</t>
        </is>
      </c>
      <c r="G97" t="inlineStr">
        <is>
          <t>ORUST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46306</v>
      </c>
      <c r="F98" t="inlineStr">
        <is>
          <t>VÄSTRA GÖTALANDS LÄN</t>
        </is>
      </c>
      <c r="G98" t="inlineStr">
        <is>
          <t>ORUST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46306</v>
      </c>
      <c r="F99" t="inlineStr">
        <is>
          <t>VÄSTRA GÖTALANDS LÄN</t>
        </is>
      </c>
      <c r="G99" t="inlineStr">
        <is>
          <t>ORUST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46306</v>
      </c>
      <c r="F100" t="inlineStr">
        <is>
          <t>VÄSTRA GÖTALANDS LÄN</t>
        </is>
      </c>
      <c r="G100" t="inlineStr">
        <is>
          <t>ORUST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46306</v>
      </c>
      <c r="F101" t="inlineStr">
        <is>
          <t>VÄSTRA GÖTALANDS LÄN</t>
        </is>
      </c>
      <c r="G101" t="inlineStr">
        <is>
          <t>ORUST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46306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46306</v>
      </c>
      <c r="F103" t="inlineStr">
        <is>
          <t>VÄSTRA GÖTALANDS LÄN</t>
        </is>
      </c>
      <c r="G103" t="inlineStr">
        <is>
          <t>ORUST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45872</v>
      </c>
      <c r="E104" s="1" t="n">
        <v>46306</v>
      </c>
      <c r="F104" t="inlineStr">
        <is>
          <t>VÄSTRA GÖTALANDS LÄN</t>
        </is>
      </c>
      <c r="G104" t="inlineStr">
        <is>
          <t>ORUST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46306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45014</v>
      </c>
      <c r="E106" s="1" t="n">
        <v>46306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46306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46306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45045</v>
      </c>
      <c r="E109" s="1" t="n">
        <v>46306</v>
      </c>
      <c r="F109" t="inlineStr">
        <is>
          <t>VÄSTRA GÖTALANDS LÄN</t>
        </is>
      </c>
      <c r="G109" t="inlineStr">
        <is>
          <t>ORUST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45523</v>
      </c>
      <c r="E110" s="1" t="n">
        <v>46306</v>
      </c>
      <c r="F110" t="inlineStr">
        <is>
          <t>VÄSTRA GÖTALANDS LÄN</t>
        </is>
      </c>
      <c r="G110" t="inlineStr">
        <is>
          <t>ORUST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45987</v>
      </c>
      <c r="E111" s="1" t="n">
        <v>46306</v>
      </c>
      <c r="F111" t="inlineStr">
        <is>
          <t>VÄSTRA GÖTALANDS LÄN</t>
        </is>
      </c>
      <c r="G111" t="inlineStr">
        <is>
          <t>ORUST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45641</v>
      </c>
      <c r="E112" s="1" t="n">
        <v>46306</v>
      </c>
      <c r="F112" t="inlineStr">
        <is>
          <t>VÄSTRA GÖTALANDS LÄN</t>
        </is>
      </c>
      <c r="G112" t="inlineStr">
        <is>
          <t>ORUST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46306</v>
      </c>
      <c r="F113" t="inlineStr">
        <is>
          <t>VÄSTRA GÖTALANDS LÄN</t>
        </is>
      </c>
      <c r="G113" t="inlineStr">
        <is>
          <t>ORUST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46306</v>
      </c>
      <c r="F114" t="inlineStr">
        <is>
          <t>VÄSTRA GÖTALANDS LÄN</t>
        </is>
      </c>
      <c r="G114" t="inlineStr">
        <is>
          <t>ORUST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46306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46306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46306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46306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46306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45467</v>
      </c>
      <c r="E120" s="1" t="n">
        <v>46306</v>
      </c>
      <c r="F120" t="inlineStr">
        <is>
          <t>VÄSTRA GÖTALANDS LÄN</t>
        </is>
      </c>
      <c r="G120" t="inlineStr">
        <is>
          <t>ORUST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46306</v>
      </c>
      <c r="F121" t="inlineStr">
        <is>
          <t>VÄSTRA GÖTALANDS LÄN</t>
        </is>
      </c>
      <c r="G121" t="inlineStr">
        <is>
          <t>ORUST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45895</v>
      </c>
      <c r="E122" s="1" t="n">
        <v>46306</v>
      </c>
      <c r="F122" t="inlineStr">
        <is>
          <t>VÄSTRA GÖTALANDS LÄN</t>
        </is>
      </c>
      <c r="G122" t="inlineStr">
        <is>
          <t>ORUST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46306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46306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46306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46306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45044</v>
      </c>
      <c r="E127" s="1" t="n">
        <v>46306</v>
      </c>
      <c r="F127" t="inlineStr">
        <is>
          <t>VÄSTRA GÖTALANDS LÄN</t>
        </is>
      </c>
      <c r="G127" t="inlineStr">
        <is>
          <t>ORUST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46306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46306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46306</v>
      </c>
      <c r="F130" t="inlineStr">
        <is>
          <t>VÄSTRA GÖTALANDS LÄN</t>
        </is>
      </c>
      <c r="G130" t="inlineStr">
        <is>
          <t>ORUST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46306</v>
      </c>
      <c r="F131" t="inlineStr">
        <is>
          <t>VÄSTRA GÖTALANDS LÄN</t>
        </is>
      </c>
      <c r="G131" t="inlineStr">
        <is>
          <t>ORUST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46306</v>
      </c>
      <c r="F132" t="inlineStr">
        <is>
          <t>VÄSTRA GÖTALANDS LÄN</t>
        </is>
      </c>
      <c r="G132" t="inlineStr">
        <is>
          <t>ORUST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68727-2021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46306</v>
      </c>
      <c r="F133" t="inlineStr">
        <is>
          <t>VÄSTRA GÖTALANDS LÄN</t>
        </is>
      </c>
      <c r="G133" t="inlineStr">
        <is>
          <t>ORUST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46306</v>
      </c>
      <c r="F134" t="inlineStr">
        <is>
          <t>VÄSTRA GÖTALANDS LÄN</t>
        </is>
      </c>
      <c r="G134" t="inlineStr">
        <is>
          <t>ORUST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46306</v>
      </c>
      <c r="F135" t="inlineStr">
        <is>
          <t>VÄSTRA GÖTALANDS LÄN</t>
        </is>
      </c>
      <c r="G135" t="inlineStr">
        <is>
          <t>ORUST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46306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46306</v>
      </c>
      <c r="F137" t="inlineStr">
        <is>
          <t>VÄSTRA GÖTALANDS LÄN</t>
        </is>
      </c>
      <c r="G137" t="inlineStr">
        <is>
          <t>ORUST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46306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46075</v>
      </c>
      <c r="E139" s="1" t="n">
        <v>46306</v>
      </c>
      <c r="F139" t="inlineStr">
        <is>
          <t>VÄSTRA GÖTALANDS LÄN</t>
        </is>
      </c>
      <c r="G139" t="inlineStr">
        <is>
          <t>ORUST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46306</v>
      </c>
      <c r="F140" t="inlineStr">
        <is>
          <t>VÄSTRA GÖTALANDS LÄN</t>
        </is>
      </c>
      <c r="G140" t="inlineStr">
        <is>
          <t>ORUST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46306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46306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46306</v>
      </c>
      <c r="F143" t="inlineStr">
        <is>
          <t>VÄSTRA GÖTALANDS LÄN</t>
        </is>
      </c>
      <c r="G143" t="inlineStr">
        <is>
          <t>ORUST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46306</v>
      </c>
      <c r="F144" t="inlineStr">
        <is>
          <t>VÄSTRA GÖTALANDS LÄN</t>
        </is>
      </c>
      <c r="G144" t="inlineStr">
        <is>
          <t>ORUST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46306</v>
      </c>
      <c r="F145" t="inlineStr">
        <is>
          <t>VÄSTRA GÖTALANDS LÄN</t>
        </is>
      </c>
      <c r="G145" t="inlineStr">
        <is>
          <t>ORUST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46306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36428-2026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46306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46306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46306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46306</v>
      </c>
      <c r="F150" t="inlineStr">
        <is>
          <t>VÄSTRA GÖTALANDS LÄN</t>
        </is>
      </c>
      <c r="G150" t="inlineStr">
        <is>
          <t>ORUST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46306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46304</v>
      </c>
      <c r="E152" s="1" t="n">
        <v>46306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46304</v>
      </c>
      <c r="E153" s="1" t="n">
        <v>46306</v>
      </c>
      <c r="F153" t="inlineStr">
        <is>
          <t>VÄSTRA GÖTALANDS LÄN</t>
        </is>
      </c>
      <c r="G153" t="inlineStr">
        <is>
          <t>ORUST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46306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2026-10-11T02:07:32Z</dcterms:created>
  <dcterms:modified xmlns:dcterms="http://purl.org/dc/terms/" xmlns:xsi="http://www.w3.org/2001/XMLSchema-instance" xsi:type="dcterms:W3CDTF">2026-10-11T02:07:32Z</dcterms:modified>
</cp:coreProperties>
</file>