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46233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46233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46233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46233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46233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46233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46233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46233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46233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46233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12722-2026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46233</v>
      </c>
      <c r="F17" t="inlineStr">
        <is>
          <t>VÄSTRA GÖTALANDS LÄN</t>
        </is>
      </c>
      <c r="G17" t="inlineStr">
        <is>
          <t>ORUST</t>
        </is>
      </c>
      <c r="I17" t="n">
        <v>7.4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HYPERLINK("https://klasma.github.io/Logging_1421/artfynd/A 12722-2026 artfynd.xlsx", "A 12722-2026")</f>
        <v/>
      </c>
      <c r="X17">
        <f>HYPERLINK("https://klasma.github.io/Logging_1421/kartor/A 12722-2026 karta.png", "A 12722-2026")</f>
        <v/>
      </c>
      <c r="Y17">
        <f>HYPERLINK("https://klasma.github.io/Logging_1421/kartor_geotiff/A 12722-2026 georefererad karta.tif", "A 12722-2026")</f>
        <v/>
      </c>
      <c r="Z17">
        <f>HYPERLINK("https://klasma.github.io/Logging_1421/knärot/A 12722-2026 karta knärot.png", "A 12722-2026")</f>
        <v/>
      </c>
      <c r="AA17">
        <f>HYPERLINK("https://klasma.github.io/Logging_1421/klagomål/A 12722-2026 FSC-klagomål.docx", "A 12722-2026")</f>
        <v/>
      </c>
      <c r="AB17">
        <f>HYPERLINK("https://klasma.github.io/Logging_1421/klagomålsmail/A 12722-2026 FSC-klagomål mail.docx", "A 12722-2026")</f>
        <v/>
      </c>
      <c r="AC17">
        <f>HYPERLINK("https://klasma.github.io/Logging_1421/tillsyn/A 12722-2026 tillsynsbegäran.docx", "A 12722-2026")</f>
        <v/>
      </c>
      <c r="AD17">
        <f>HYPERLINK("https://klasma.github.io/Logging_1421/tillsynsmail/A 12722-2026 tillsynsbegäran mail.docx", "A 12722-2026")</f>
        <v/>
      </c>
    </row>
    <row r="18" ht="15" customHeight="1">
      <c r="A18" t="inlineStr">
        <is>
          <t>A 49047-2025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45937</v>
      </c>
      <c r="E18" s="1" t="n">
        <v>46233</v>
      </c>
      <c r="F18" t="inlineStr">
        <is>
          <t>VÄSTRA GÖTALANDS LÄN</t>
        </is>
      </c>
      <c r="G18" t="inlineStr">
        <is>
          <t>ORUST</t>
        </is>
      </c>
      <c r="I18" t="n">
        <v>3.2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HYPERLINK("https://klasma.github.io/Logging_1421/artfynd/A 49047-2025 artfynd.xlsx", "A 49047-2025")</f>
        <v/>
      </c>
      <c r="X18">
        <f>HYPERLINK("https://klasma.github.io/Logging_1421/kartor/A 49047-2025 karta.png", "A 49047-2025")</f>
        <v/>
      </c>
      <c r="Y18">
        <f>HYPERLINK("https://klasma.github.io/Logging_1421/kartor_geotiff/A 49047-2025 georefererad karta.tif", "A 49047-2025")</f>
        <v/>
      </c>
      <c r="AA18">
        <f>HYPERLINK("https://klasma.github.io/Logging_1421/klagomål/A 49047-2025 FSC-klagomål.docx", "A 49047-2025")</f>
        <v/>
      </c>
      <c r="AB18">
        <f>HYPERLINK("https://klasma.github.io/Logging_1421/klagomålsmail/A 49047-2025 FSC-klagomål mail.docx", "A 49047-2025")</f>
        <v/>
      </c>
      <c r="AC18">
        <f>HYPERLINK("https://klasma.github.io/Logging_1421/tillsyn/A 49047-2025 tillsynsbegäran.docx", "A 49047-2025")</f>
        <v/>
      </c>
      <c r="AD18">
        <f>HYPERLINK("https://klasma.github.io/Logging_1421/tillsynsmail/A 49047-2025 tillsynsbegäran mail.docx", "A 49047-2025")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46233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5617-2024 artfynd.xlsx", "A 5617-2024")</f>
        <v/>
      </c>
      <c r="X19">
        <f>HYPERLINK("https://klasma.github.io/Logging_1421/kartor/A 5617-2024 karta.png", "A 5617-2024")</f>
        <v/>
      </c>
      <c r="Y19">
        <f>HYPERLINK("https://klasma.github.io/Logging_1421/kartor_geotiff/A 5617-2024 georefererad karta.tif", "A 5617-2024")</f>
        <v/>
      </c>
      <c r="Z19">
        <f>HYPERLINK("https://klasma.github.io/Logging_1421/knärot/A 5617-2024 karta knärot.png", "A 5617-2024")</f>
        <v/>
      </c>
      <c r="AA19">
        <f>HYPERLINK("https://klasma.github.io/Logging_1421/klagomål/A 5617-2024 FSC-klagomål.docx", "A 5617-2024")</f>
        <v/>
      </c>
      <c r="AB19">
        <f>HYPERLINK("https://klasma.github.io/Logging_1421/klagomålsmail/A 5617-2024 FSC-klagomål mail.docx", "A 5617-2024")</f>
        <v/>
      </c>
      <c r="AC19">
        <f>HYPERLINK("https://klasma.github.io/Logging_1421/tillsyn/A 5617-2024 tillsynsbegäran.docx", "A 5617-2024")</f>
        <v/>
      </c>
      <c r="AD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46233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44233-2023 artfynd.xlsx", "A 44233-2023")</f>
        <v/>
      </c>
      <c r="X20">
        <f>HYPERLINK("https://klasma.github.io/Logging_1421/kartor/A 44233-2023 karta.png", "A 44233-2023")</f>
        <v/>
      </c>
      <c r="Y20">
        <f>HYPERLINK("https://klasma.github.io/Logging_1421/kartor_geotiff/A 44233-2023 georefererad karta.tif", "A 44233-2023")</f>
        <v/>
      </c>
      <c r="Z20">
        <f>HYPERLINK("https://klasma.github.io/Logging_1421/knärot/A 44233-2023 karta knärot.png", "A 44233-2023")</f>
        <v/>
      </c>
      <c r="AA20">
        <f>HYPERLINK("https://klasma.github.io/Logging_1421/klagomål/A 44233-2023 FSC-klagomål.docx", "A 44233-2023")</f>
        <v/>
      </c>
      <c r="AB20">
        <f>HYPERLINK("https://klasma.github.io/Logging_1421/klagomålsmail/A 44233-2023 FSC-klagomål mail.docx", "A 44233-2023")</f>
        <v/>
      </c>
      <c r="AC20">
        <f>HYPERLINK("https://klasma.github.io/Logging_1421/tillsyn/A 44233-2023 tillsynsbegäran.docx", "A 44233-2023")</f>
        <v/>
      </c>
      <c r="AD20">
        <f>HYPERLINK("https://klasma.github.io/Logging_1421/tillsynsmail/A 44233-2023 tillsynsbegäran mail.docx", "A 44233-2023")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46233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46233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46233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46233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46233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46233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46233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46233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46233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46233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46233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46233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46233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46233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46233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46233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46233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46233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46233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46233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46233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46233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46233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46233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46233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46233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46233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46233</v>
      </c>
      <c r="F48" t="inlineStr">
        <is>
          <t>VÄSTRA GÖTALANDS LÄN</t>
        </is>
      </c>
      <c r="G48" t="inlineStr">
        <is>
          <t>ORUST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46233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46233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46233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45454</v>
      </c>
      <c r="E52" s="1" t="n">
        <v>46233</v>
      </c>
      <c r="F52" t="inlineStr">
        <is>
          <t>VÄSTRA GÖTALANDS LÄN</t>
        </is>
      </c>
      <c r="G52" t="inlineStr">
        <is>
          <t>ORUST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46233</v>
      </c>
      <c r="F53" t="inlineStr">
        <is>
          <t>VÄSTRA GÖTALANDS LÄN</t>
        </is>
      </c>
      <c r="G53" t="inlineStr">
        <is>
          <t>ORUST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45334</v>
      </c>
      <c r="E54" s="1" t="n">
        <v>46233</v>
      </c>
      <c r="F54" t="inlineStr">
        <is>
          <t>VÄSTRA GÖTALANDS LÄN</t>
        </is>
      </c>
      <c r="G54" t="inlineStr">
        <is>
          <t>ORUST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46233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46233</v>
      </c>
      <c r="F56" t="inlineStr">
        <is>
          <t>VÄSTRA GÖTALANDS LÄN</t>
        </is>
      </c>
      <c r="G56" t="inlineStr">
        <is>
          <t>ORUST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49134-2021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44453</v>
      </c>
      <c r="E57" s="1" t="n">
        <v>46233</v>
      </c>
      <c r="F57" t="inlineStr">
        <is>
          <t>VÄSTRA GÖTALANDS LÄN</t>
        </is>
      </c>
      <c r="G57" t="inlineStr">
        <is>
          <t>ORUST</t>
        </is>
      </c>
      <c r="H57" t="inlineStr">
        <is>
          <t>Kommuner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46233</v>
      </c>
      <c r="F58" t="inlineStr">
        <is>
          <t>VÄSTRA GÖTALANDS LÄN</t>
        </is>
      </c>
      <c r="G58" t="inlineStr">
        <is>
          <t>ORUST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46233</v>
      </c>
      <c r="F59" t="inlineStr">
        <is>
          <t>VÄSTRA GÖTALANDS LÄN</t>
        </is>
      </c>
      <c r="G59" t="inlineStr">
        <is>
          <t>ORUST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44899</v>
      </c>
      <c r="E60" s="1" t="n">
        <v>46233</v>
      </c>
      <c r="F60" t="inlineStr">
        <is>
          <t>VÄSTRA GÖTALANDS LÄN</t>
        </is>
      </c>
      <c r="G60" t="inlineStr">
        <is>
          <t>ORUST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45574</v>
      </c>
      <c r="E61" s="1" t="n">
        <v>46233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46036</v>
      </c>
      <c r="E62" s="1" t="n">
        <v>46233</v>
      </c>
      <c r="F62" t="inlineStr">
        <is>
          <t>VÄSTRA GÖTALANDS LÄN</t>
        </is>
      </c>
      <c r="G62" t="inlineStr">
        <is>
          <t>ORUST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46233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46233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46233</v>
      </c>
      <c r="F65" t="inlineStr">
        <is>
          <t>VÄSTRA GÖTALANDS LÄN</t>
        </is>
      </c>
      <c r="G65" t="inlineStr">
        <is>
          <t>ORUST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46233</v>
      </c>
      <c r="F66" t="inlineStr">
        <is>
          <t>VÄSTRA GÖTALANDS LÄN</t>
        </is>
      </c>
      <c r="G66" t="inlineStr">
        <is>
          <t>ORUST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45616</v>
      </c>
      <c r="E67" s="1" t="n">
        <v>46233</v>
      </c>
      <c r="F67" t="inlineStr">
        <is>
          <t>VÄSTRA GÖTALANDS LÄN</t>
        </is>
      </c>
      <c r="G67" t="inlineStr">
        <is>
          <t>ORUST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4114-2026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46233</v>
      </c>
      <c r="F68" t="inlineStr">
        <is>
          <t>VÄSTRA GÖTALANDS LÄN</t>
        </is>
      </c>
      <c r="G68" t="inlineStr">
        <is>
          <t>ORUST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45491</v>
      </c>
      <c r="E69" s="1" t="n">
        <v>46233</v>
      </c>
      <c r="F69" t="inlineStr">
        <is>
          <t>VÄSTRA GÖTALANDS LÄN</t>
        </is>
      </c>
      <c r="G69" t="inlineStr">
        <is>
          <t>ORUST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44924</v>
      </c>
      <c r="E70" s="1" t="n">
        <v>46233</v>
      </c>
      <c r="F70" t="inlineStr">
        <is>
          <t>VÄSTRA GÖTALANDS LÄN</t>
        </is>
      </c>
      <c r="G70" t="inlineStr">
        <is>
          <t>ORUST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46233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46233</v>
      </c>
      <c r="F72" t="inlineStr">
        <is>
          <t>VÄSTRA GÖTALANDS LÄN</t>
        </is>
      </c>
      <c r="G72" t="inlineStr">
        <is>
          <t>ORUST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45558</v>
      </c>
      <c r="E73" s="1" t="n">
        <v>46233</v>
      </c>
      <c r="F73" t="inlineStr">
        <is>
          <t>VÄSTRA GÖTALANDS LÄN</t>
        </is>
      </c>
      <c r="G73" t="inlineStr">
        <is>
          <t>ORUST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46233</v>
      </c>
      <c r="F74" t="inlineStr">
        <is>
          <t>VÄSTRA GÖTALANDS LÄN</t>
        </is>
      </c>
      <c r="G74" t="inlineStr">
        <is>
          <t>ORUST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46233</v>
      </c>
      <c r="F75" t="inlineStr">
        <is>
          <t>VÄSTRA GÖTALANDS LÄN</t>
        </is>
      </c>
      <c r="G75" t="inlineStr">
        <is>
          <t>ORUST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46233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46233</v>
      </c>
      <c r="F77" t="inlineStr">
        <is>
          <t>VÄSTRA GÖTALANDS LÄN</t>
        </is>
      </c>
      <c r="G77" t="inlineStr">
        <is>
          <t>ORUST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46233</v>
      </c>
      <c r="F78" t="inlineStr">
        <is>
          <t>VÄSTRA GÖTALANDS LÄN</t>
        </is>
      </c>
      <c r="G78" t="inlineStr">
        <is>
          <t>ORUST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33299-2025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46233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46233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46233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46233</v>
      </c>
      <c r="F82" t="inlineStr">
        <is>
          <t>VÄSTRA GÖTALANDS LÄN</t>
        </is>
      </c>
      <c r="G82" t="inlineStr">
        <is>
          <t>ORUST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46233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36722-2025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45872</v>
      </c>
      <c r="E84" s="1" t="n">
        <v>46233</v>
      </c>
      <c r="F84" t="inlineStr">
        <is>
          <t>VÄSTRA GÖTALANDS LÄN</t>
        </is>
      </c>
      <c r="G84" t="inlineStr">
        <is>
          <t>ORUST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46056</v>
      </c>
      <c r="E85" s="1" t="n">
        <v>46233</v>
      </c>
      <c r="F85" t="inlineStr">
        <is>
          <t>VÄSTRA GÖTALANDS LÄN</t>
        </is>
      </c>
      <c r="G85" t="inlineStr">
        <is>
          <t>ORUST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46233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46233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46233</v>
      </c>
      <c r="F88" t="inlineStr">
        <is>
          <t>VÄSTRA GÖTALANDS LÄN</t>
        </is>
      </c>
      <c r="G88" t="inlineStr">
        <is>
          <t>ORUST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46233</v>
      </c>
      <c r="F89" t="inlineStr">
        <is>
          <t>VÄSTRA GÖTALANDS LÄN</t>
        </is>
      </c>
      <c r="G89" t="inlineStr">
        <is>
          <t>ORUST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45130</v>
      </c>
      <c r="E90" s="1" t="n">
        <v>46233</v>
      </c>
      <c r="F90" t="inlineStr">
        <is>
          <t>VÄSTRA GÖTALANDS LÄN</t>
        </is>
      </c>
      <c r="G90" t="inlineStr">
        <is>
          <t>ORUST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46233</v>
      </c>
      <c r="F91" t="inlineStr">
        <is>
          <t>VÄSTRA GÖTALANDS LÄN</t>
        </is>
      </c>
      <c r="G91" t="inlineStr">
        <is>
          <t>ORUST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46065</v>
      </c>
      <c r="E92" s="1" t="n">
        <v>46233</v>
      </c>
      <c r="F92" t="inlineStr">
        <is>
          <t>VÄSTRA GÖTALANDS LÄN</t>
        </is>
      </c>
      <c r="G92" t="inlineStr">
        <is>
          <t>ORUST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46233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46233</v>
      </c>
      <c r="F94" t="inlineStr">
        <is>
          <t>VÄSTRA GÖTALANDS LÄN</t>
        </is>
      </c>
      <c r="G94" t="inlineStr">
        <is>
          <t>ORUST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46070</v>
      </c>
      <c r="E95" s="1" t="n">
        <v>46233</v>
      </c>
      <c r="F95" t="inlineStr">
        <is>
          <t>VÄSTRA GÖTALANDS LÄN</t>
        </is>
      </c>
      <c r="G95" t="inlineStr">
        <is>
          <t>ORUST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46075</v>
      </c>
      <c r="E96" s="1" t="n">
        <v>46233</v>
      </c>
      <c r="F96" t="inlineStr">
        <is>
          <t>VÄSTRA GÖTALANDS LÄN</t>
        </is>
      </c>
      <c r="G96" t="inlineStr">
        <is>
          <t>ORUST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45014</v>
      </c>
      <c r="E97" s="1" t="n">
        <v>46233</v>
      </c>
      <c r="F97" t="inlineStr">
        <is>
          <t>VÄSTRA GÖTALANDS LÄN</t>
        </is>
      </c>
      <c r="G97" t="inlineStr">
        <is>
          <t>ORUST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46233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46233</v>
      </c>
      <c r="F99" t="inlineStr">
        <is>
          <t>VÄSTRA GÖTALANDS LÄN</t>
        </is>
      </c>
      <c r="G99" t="inlineStr">
        <is>
          <t>ORUST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46233</v>
      </c>
      <c r="F100" t="inlineStr">
        <is>
          <t>VÄSTRA GÖTALANDS LÄN</t>
        </is>
      </c>
      <c r="G100" t="inlineStr">
        <is>
          <t>ORUST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45992</v>
      </c>
      <c r="E101" s="1" t="n">
        <v>46233</v>
      </c>
      <c r="F101" t="inlineStr">
        <is>
          <t>VÄSTRA GÖTALANDS LÄN</t>
        </is>
      </c>
      <c r="G101" t="inlineStr">
        <is>
          <t>ORUST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46233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45535</v>
      </c>
      <c r="E103" s="1" t="n">
        <v>46233</v>
      </c>
      <c r="F103" t="inlineStr">
        <is>
          <t>VÄSTRA GÖTALANDS LÄN</t>
        </is>
      </c>
      <c r="G103" t="inlineStr">
        <is>
          <t>ORUST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45771</v>
      </c>
      <c r="E104" s="1" t="n">
        <v>46233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46120</v>
      </c>
      <c r="E105" s="1" t="n">
        <v>46233</v>
      </c>
      <c r="F105" t="inlineStr">
        <is>
          <t>VÄSTRA GÖTALANDS LÄN</t>
        </is>
      </c>
      <c r="G105" t="inlineStr">
        <is>
          <t>ORUST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46233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44919</v>
      </c>
      <c r="E107" s="1" t="n">
        <v>46233</v>
      </c>
      <c r="F107" t="inlineStr">
        <is>
          <t>VÄSTRA GÖTALANDS LÄN</t>
        </is>
      </c>
      <c r="G107" t="inlineStr">
        <is>
          <t>ORUST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46233</v>
      </c>
      <c r="F108" t="inlineStr">
        <is>
          <t>VÄSTRA GÖTALANDS LÄN</t>
        </is>
      </c>
      <c r="G108" t="inlineStr">
        <is>
          <t>ORUST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46233</v>
      </c>
      <c r="F109" t="inlineStr">
        <is>
          <t>VÄSTRA GÖTALANDS LÄN</t>
        </is>
      </c>
      <c r="G109" t="inlineStr">
        <is>
          <t>ORUST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32175-2024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46233</v>
      </c>
      <c r="F110" t="inlineStr">
        <is>
          <t>VÄSTRA GÖTALANDS LÄN</t>
        </is>
      </c>
      <c r="G110" t="inlineStr">
        <is>
          <t>ORUST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46233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46233</v>
      </c>
      <c r="F112" t="inlineStr">
        <is>
          <t>VÄSTRA GÖTALANDS LÄN</t>
        </is>
      </c>
      <c r="G112" t="inlineStr">
        <is>
          <t>ORUST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46233</v>
      </c>
      <c r="F113" t="inlineStr">
        <is>
          <t>VÄSTRA GÖTALANDS LÄN</t>
        </is>
      </c>
      <c r="G113" t="inlineStr">
        <is>
          <t>ORUST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46233</v>
      </c>
      <c r="F114" t="inlineStr">
        <is>
          <t>VÄSTRA GÖTALANDS LÄN</t>
        </is>
      </c>
      <c r="G114" t="inlineStr">
        <is>
          <t>ORUST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46233</v>
      </c>
      <c r="F115" t="inlineStr">
        <is>
          <t>VÄSTRA GÖTALANDS LÄN</t>
        </is>
      </c>
      <c r="G115" t="inlineStr">
        <is>
          <t>ORUST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23258-2025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45791</v>
      </c>
      <c r="E116" s="1" t="n">
        <v>46233</v>
      </c>
      <c r="F116" t="inlineStr">
        <is>
          <t>VÄSTRA GÖTALANDS LÄN</t>
        </is>
      </c>
      <c r="G116" t="inlineStr">
        <is>
          <t>ORUST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46233</v>
      </c>
      <c r="F117" t="inlineStr">
        <is>
          <t>VÄSTRA GÖTALANDS LÄN</t>
        </is>
      </c>
      <c r="G117" t="inlineStr">
        <is>
          <t>ORUST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46233</v>
      </c>
      <c r="F118" t="inlineStr">
        <is>
          <t>VÄSTRA GÖTALANDS LÄN</t>
        </is>
      </c>
      <c r="G118" t="inlineStr">
        <is>
          <t>ORUST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46233</v>
      </c>
      <c r="F119" t="inlineStr">
        <is>
          <t>VÄSTRA GÖTALANDS LÄN</t>
        </is>
      </c>
      <c r="G119" t="inlineStr">
        <is>
          <t>ORUST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46233</v>
      </c>
      <c r="F120" t="inlineStr">
        <is>
          <t>VÄSTRA GÖTALANDS LÄN</t>
        </is>
      </c>
      <c r="G120" t="inlineStr">
        <is>
          <t>ORUST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46233</v>
      </c>
      <c r="F121" t="inlineStr">
        <is>
          <t>VÄSTRA GÖTALANDS LÄN</t>
        </is>
      </c>
      <c r="G121" t="inlineStr">
        <is>
          <t>ORUST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46233</v>
      </c>
      <c r="F122" t="inlineStr">
        <is>
          <t>VÄSTRA GÖTALANDS LÄN</t>
        </is>
      </c>
      <c r="G122" t="inlineStr">
        <is>
          <t>ORUST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46233</v>
      </c>
      <c r="F123" t="inlineStr">
        <is>
          <t>VÄSTRA GÖTALANDS LÄN</t>
        </is>
      </c>
      <c r="G123" t="inlineStr">
        <is>
          <t>ORUST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46233</v>
      </c>
      <c r="F124" t="inlineStr">
        <is>
          <t>VÄSTRA GÖTALANDS LÄN</t>
        </is>
      </c>
      <c r="G124" t="inlineStr">
        <is>
          <t>ORUST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44791</v>
      </c>
      <c r="E125" s="1" t="n">
        <v>46233</v>
      </c>
      <c r="F125" t="inlineStr">
        <is>
          <t>VÄSTRA GÖTALANDS LÄN</t>
        </is>
      </c>
      <c r="G125" t="inlineStr">
        <is>
          <t>ORUST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14609-2024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45396</v>
      </c>
      <c r="E126" s="1" t="n">
        <v>46233</v>
      </c>
      <c r="F126" t="inlineStr">
        <is>
          <t>VÄSTRA GÖTALANDS LÄN</t>
        </is>
      </c>
      <c r="G126" t="inlineStr">
        <is>
          <t>ORUST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46233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45334</v>
      </c>
      <c r="E128" s="1" t="n">
        <v>46233</v>
      </c>
      <c r="F128" t="inlineStr">
        <is>
          <t>VÄSTRA GÖTALANDS LÄN</t>
        </is>
      </c>
      <c r="G128" t="inlineStr">
        <is>
          <t>ORUST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46233</v>
      </c>
      <c r="F129" t="inlineStr">
        <is>
          <t>VÄSTRA GÖTALANDS LÄN</t>
        </is>
      </c>
      <c r="G129" t="inlineStr">
        <is>
          <t>ORUST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45045</v>
      </c>
      <c r="E130" s="1" t="n">
        <v>46233</v>
      </c>
      <c r="F130" t="inlineStr">
        <is>
          <t>VÄSTRA GÖTALANDS LÄN</t>
        </is>
      </c>
      <c r="G130" t="inlineStr">
        <is>
          <t>ORUST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45523</v>
      </c>
      <c r="E131" s="1" t="n">
        <v>46233</v>
      </c>
      <c r="F131" t="inlineStr">
        <is>
          <t>VÄSTRA GÖTALANDS LÄN</t>
        </is>
      </c>
      <c r="G131" t="inlineStr">
        <is>
          <t>ORUST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59915-2024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45641</v>
      </c>
      <c r="E132" s="1" t="n">
        <v>46233</v>
      </c>
      <c r="F132" t="inlineStr">
        <is>
          <t>VÄSTRA GÖTALANDS LÄN</t>
        </is>
      </c>
      <c r="G132" t="inlineStr">
        <is>
          <t>ORUST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57877-2022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44899</v>
      </c>
      <c r="E133" s="1" t="n">
        <v>46233</v>
      </c>
      <c r="F133" t="inlineStr">
        <is>
          <t>VÄSTRA GÖTALANDS LÄN</t>
        </is>
      </c>
      <c r="G133" t="inlineStr">
        <is>
          <t>ORUST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45005</v>
      </c>
      <c r="E134" s="1" t="n">
        <v>46233</v>
      </c>
      <c r="F134" t="inlineStr">
        <is>
          <t>VÄSTRA GÖTALANDS LÄN</t>
        </is>
      </c>
      <c r="G134" t="inlineStr">
        <is>
          <t>ORUST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46233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46233</v>
      </c>
      <c r="F136" t="inlineStr">
        <is>
          <t>VÄSTRA GÖTALANDS LÄN</t>
        </is>
      </c>
      <c r="G136" t="inlineStr">
        <is>
          <t>ORUST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46233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46170</v>
      </c>
      <c r="E138" s="1" t="n">
        <v>46233</v>
      </c>
      <c r="F138" t="inlineStr">
        <is>
          <t>VÄSTRA GÖTALANDS LÄN</t>
        </is>
      </c>
      <c r="G138" t="inlineStr">
        <is>
          <t>ORUST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46233</v>
      </c>
      <c r="F139" t="inlineStr">
        <is>
          <t>VÄSTRA GÖTALANDS LÄN</t>
        </is>
      </c>
      <c r="G139" t="inlineStr">
        <is>
          <t>ORUST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46233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46233</v>
      </c>
      <c r="F141" t="inlineStr">
        <is>
          <t>VÄSTRA GÖTALANDS LÄN</t>
        </is>
      </c>
      <c r="G141" t="inlineStr">
        <is>
          <t>ORUST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46175</v>
      </c>
      <c r="E142" s="1" t="n">
        <v>46233</v>
      </c>
      <c r="F142" t="inlineStr">
        <is>
          <t>VÄSTRA GÖTALANDS LÄN</t>
        </is>
      </c>
      <c r="G142" t="inlineStr">
        <is>
          <t>ORUST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46233</v>
      </c>
      <c r="F143" t="inlineStr">
        <is>
          <t>VÄSTRA GÖTALANDS LÄN</t>
        </is>
      </c>
      <c r="G143" t="inlineStr">
        <is>
          <t>ORUST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46233</v>
      </c>
      <c r="F144" t="inlineStr">
        <is>
          <t>VÄSTRA GÖTALANDS LÄN</t>
        </is>
      </c>
      <c r="G144" t="inlineStr">
        <is>
          <t>ORUST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46233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49134-2021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44453</v>
      </c>
      <c r="E146" s="1" t="n">
        <v>46233</v>
      </c>
      <c r="F146" t="inlineStr">
        <is>
          <t>VÄSTRA GÖTALANDS LÄN</t>
        </is>
      </c>
      <c r="G146" t="inlineStr">
        <is>
          <t>ORUST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46233</v>
      </c>
      <c r="F147" t="inlineStr">
        <is>
          <t>VÄSTRA GÖTALANDS LÄN</t>
        </is>
      </c>
      <c r="G147" t="inlineStr">
        <is>
          <t>ORUST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40722-2024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46233</v>
      </c>
      <c r="F148" t="inlineStr">
        <is>
          <t>VÄSTRA GÖTALANDS LÄN</t>
        </is>
      </c>
      <c r="G148" t="inlineStr">
        <is>
          <t>ORUST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46233</v>
      </c>
      <c r="F149" t="inlineStr">
        <is>
          <t>VÄSTRA GÖTALANDS LÄN</t>
        </is>
      </c>
      <c r="G149" t="inlineStr">
        <is>
          <t>ORUST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46233</v>
      </c>
      <c r="F150" t="inlineStr">
        <is>
          <t>VÄSTRA GÖTALANDS LÄN</t>
        </is>
      </c>
      <c r="G150" t="inlineStr">
        <is>
          <t>ORUST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46233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45339</v>
      </c>
      <c r="E152" s="1" t="n">
        <v>46233</v>
      </c>
      <c r="F152" t="inlineStr">
        <is>
          <t>VÄSTRA GÖTALANDS LÄN</t>
        </is>
      </c>
      <c r="G152" t="inlineStr">
        <is>
          <t>ORUST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46233</v>
      </c>
      <c r="F153" t="inlineStr">
        <is>
          <t>VÄSTRA GÖTALANDS LÄN</t>
        </is>
      </c>
      <c r="G153" t="inlineStr">
        <is>
          <t>ORUST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46233</v>
      </c>
      <c r="F154" t="inlineStr">
        <is>
          <t>VÄSTRA GÖTALANDS LÄN</t>
        </is>
      </c>
      <c r="G154" t="inlineStr">
        <is>
          <t>ORUST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46233</v>
      </c>
      <c r="F155" t="inlineStr">
        <is>
          <t>VÄSTRA GÖTALANDS LÄN</t>
        </is>
      </c>
      <c r="G155" t="inlineStr">
        <is>
          <t>ORUST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46233</v>
      </c>
      <c r="F156" t="inlineStr">
        <is>
          <t>VÄSTRA GÖTALANDS LÄN</t>
        </is>
      </c>
      <c r="G156" t="inlineStr">
        <is>
          <t>ORUST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46233</v>
      </c>
      <c r="F157" t="inlineStr">
        <is>
          <t>VÄSTRA GÖTALANDS LÄN</t>
        </is>
      </c>
      <c r="G157" t="inlineStr">
        <is>
          <t>ORUST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45718</v>
      </c>
      <c r="E158" s="1" t="n">
        <v>46233</v>
      </c>
      <c r="F158" t="inlineStr">
        <is>
          <t>VÄSTRA GÖTALANDS LÄN</t>
        </is>
      </c>
      <c r="G158" t="inlineStr">
        <is>
          <t>ORUST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46233</v>
      </c>
      <c r="F159" t="inlineStr">
        <is>
          <t>VÄSTRA GÖTALANDS LÄN</t>
        </is>
      </c>
      <c r="G159" t="inlineStr">
        <is>
          <t>ORUST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46233</v>
      </c>
      <c r="F160" t="inlineStr">
        <is>
          <t>VÄSTRA GÖTALANDS LÄN</t>
        </is>
      </c>
      <c r="G160" t="inlineStr">
        <is>
          <t>ORUST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46233</v>
      </c>
      <c r="F161" t="inlineStr">
        <is>
          <t>VÄSTRA GÖTALANDS LÄN</t>
        </is>
      </c>
      <c r="G161" t="inlineStr">
        <is>
          <t>ORUST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46233</v>
      </c>
      <c r="F162" t="inlineStr">
        <is>
          <t>VÄSTRA GÖTALANDS LÄN</t>
        </is>
      </c>
      <c r="G162" t="inlineStr">
        <is>
          <t>ORUST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46233</v>
      </c>
      <c r="F163" t="inlineStr">
        <is>
          <t>VÄSTRA GÖTALANDS LÄN</t>
        </is>
      </c>
      <c r="G163" t="inlineStr">
        <is>
          <t>ORUST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46233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2026-07-30T01:54:10Z</dcterms:created>
  <dcterms:modified xmlns:dcterms="http://purl.org/dc/terms/" xmlns:xsi="http://www.w3.org/2001/XMLSchema-instance" xsi:type="dcterms:W3CDTF">2026-07-30T01:54:10Z</dcterms:modified>
</cp:coreProperties>
</file>