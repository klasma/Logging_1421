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45363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45363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45363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45363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45363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45363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45363</v>
      </c>
      <c r="D8" t="inlineStr">
        <is>
          <t>VÄSTRA GÖTALANDS LÄN</t>
        </is>
      </c>
      <c r="E8" t="inlineStr">
        <is>
          <t>ORUST</t>
        </is>
      </c>
      <c r="G8" t="n">
        <v>17.3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45363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45363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5968-2019</t>
        </is>
      </c>
      <c r="B11" s="1" t="n">
        <v>43493</v>
      </c>
      <c r="C11" s="1" t="n">
        <v>45363</v>
      </c>
      <c r="D11" t="inlineStr">
        <is>
          <t>VÄSTRA GÖTALANDS LÄN</t>
        </is>
      </c>
      <c r="E11" t="inlineStr">
        <is>
          <t>ORUST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HYPERLINK("https://klasma.github.io/Logging_1421/artfynd/A 5968-2019 artfynd.xlsx", "A 5968-2019")</f>
        <v/>
      </c>
      <c r="T11">
        <f>HYPERLINK("https://klasma.github.io/Logging_1421/kartor/A 5968-2019 karta.png", "A 5968-2019")</f>
        <v/>
      </c>
      <c r="U11">
        <f>HYPERLINK("https://klasma.github.io/Logging_1421/knärot/A 5968-2019 karta knärot.png", "A 5968-2019")</f>
        <v/>
      </c>
      <c r="V11">
        <f>HYPERLINK("https://klasma.github.io/Logging_1421/klagomål/A 5968-2019 FSC-klagomål.docx", "A 5968-2019")</f>
        <v/>
      </c>
      <c r="W11">
        <f>HYPERLINK("https://klasma.github.io/Logging_1421/klagomålsmail/A 5968-2019 FSC-klagomål mail.docx", "A 5968-2019")</f>
        <v/>
      </c>
      <c r="X11">
        <f>HYPERLINK("https://klasma.github.io/Logging_1421/tillsyn/A 5968-2019 tillsynsbegäran.docx", "A 5968-2019")</f>
        <v/>
      </c>
      <c r="Y11">
        <f>HYPERLINK("https://klasma.github.io/Logging_1421/tillsynsmail/A 5968-2019 tillsynsbegäran mail.docx", "A 5968-2019")</f>
        <v/>
      </c>
    </row>
    <row r="12" ht="15" customHeight="1">
      <c r="A12" t="inlineStr">
        <is>
          <t>A 10583-2019</t>
        </is>
      </c>
      <c r="B12" s="1" t="n">
        <v>43514</v>
      </c>
      <c r="C12" s="1" t="n">
        <v>45363</v>
      </c>
      <c r="D12" t="inlineStr">
        <is>
          <t>VÄSTRA GÖTALANDS LÄN</t>
        </is>
      </c>
      <c r="E12" t="inlineStr">
        <is>
          <t>ORUST</t>
        </is>
      </c>
      <c r="G12" t="n">
        <v>7.6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HYPERLINK("https://klasma.github.io/Logging_1421/artfynd/A 10583-2019 artfynd.xlsx", "A 10583-2019")</f>
        <v/>
      </c>
      <c r="T12">
        <f>HYPERLINK("https://klasma.github.io/Logging_1421/kartor/A 10583-2019 karta.png", "A 10583-2019")</f>
        <v/>
      </c>
      <c r="V12">
        <f>HYPERLINK("https://klasma.github.io/Logging_1421/klagomål/A 10583-2019 FSC-klagomål.docx", "A 10583-2019")</f>
        <v/>
      </c>
      <c r="W12">
        <f>HYPERLINK("https://klasma.github.io/Logging_1421/klagomålsmail/A 10583-2019 FSC-klagomål mail.docx", "A 10583-2019")</f>
        <v/>
      </c>
      <c r="X12">
        <f>HYPERLINK("https://klasma.github.io/Logging_1421/tillsyn/A 10583-2019 tillsynsbegäran.docx", "A 10583-2019")</f>
        <v/>
      </c>
      <c r="Y12">
        <f>HYPERLINK("https://klasma.github.io/Logging_1421/tillsynsmail/A 10583-2019 tillsynsbegäran mail.docx", "A 10583-2019")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45363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45363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45363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9198-2019</t>
        </is>
      </c>
      <c r="B16" s="1" t="n">
        <v>43506</v>
      </c>
      <c r="C16" s="1" t="n">
        <v>45363</v>
      </c>
      <c r="D16" t="inlineStr">
        <is>
          <t>VÄSTRA GÖTALANDS LÄN</t>
        </is>
      </c>
      <c r="E16" t="inlineStr">
        <is>
          <t>ORUST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HYPERLINK("https://klasma.github.io/Logging_1421/artfynd/A 9198-2019 artfynd.xlsx", "A 9198-2019")</f>
        <v/>
      </c>
      <c r="T16">
        <f>HYPERLINK("https://klasma.github.io/Logging_1421/kartor/A 9198-2019 karta.png", "A 9198-2019")</f>
        <v/>
      </c>
      <c r="V16">
        <f>HYPERLINK("https://klasma.github.io/Logging_1421/klagomål/A 9198-2019 FSC-klagomål.docx", "A 9198-2019")</f>
        <v/>
      </c>
      <c r="W16">
        <f>HYPERLINK("https://klasma.github.io/Logging_1421/klagomålsmail/A 9198-2019 FSC-klagomål mail.docx", "A 9198-2019")</f>
        <v/>
      </c>
      <c r="X16">
        <f>HYPERLINK("https://klasma.github.io/Logging_1421/tillsyn/A 9198-2019 tillsynsbegäran.docx", "A 9198-2019")</f>
        <v/>
      </c>
      <c r="Y16">
        <f>HYPERLINK("https://klasma.github.io/Logging_1421/tillsynsmail/A 9198-2019 tillsynsbegäran mail.docx", "A 9198-2019")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45363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45363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45363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45363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45363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45363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45363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45363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45363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45363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45363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45363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45363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45363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45363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45363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45363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45363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45363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45363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45363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45363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45363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45363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45363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45363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45363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45363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45363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45363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45363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45363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45363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45363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45363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45363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45363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45363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45363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45363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45363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45363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45363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45363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45363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45363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45363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45363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45363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45363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45363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45363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45363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45363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45363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45363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45363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45363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45363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45363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45363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45363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45363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45363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45363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45363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45363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45363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45363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45363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45363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45363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45363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45363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45363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45363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45363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45363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45363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45363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45363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45363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45363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45363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45363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45363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45363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45363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45363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45363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45363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45363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45363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45363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45363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45363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45363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45363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45363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45363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45363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45363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45363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45363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45363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45363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45363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45363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45363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45363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45363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45363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45363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45363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45363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45363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45363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45363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45363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45363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45363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45363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45363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45363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45363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45363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45363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45363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45363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45363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45363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45363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45363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45363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45363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45363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45363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45363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45363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45363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45363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45363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45363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45363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45363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45363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45363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45363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45363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45363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45363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45363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45363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45363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45363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45363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45363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45363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45363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45363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45363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45363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45363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45363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45363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45363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5617-2024</t>
        </is>
      </c>
      <c r="B183" s="1" t="n">
        <v>45334</v>
      </c>
      <c r="C183" s="1" t="n">
        <v>45363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HYPERLINK("https://klasma.github.io/Logging_1421/knärot/A 5617-2024 karta knärot.png", "A 5617-2024")</f>
        <v/>
      </c>
      <c r="V183">
        <f>HYPERLINK("https://klasma.github.io/Logging_1421/klagomål/A 5617-2024 FSC-klagomål.docx", "A 5617-2024")</f>
        <v/>
      </c>
      <c r="W183">
        <f>HYPERLINK("https://klasma.github.io/Logging_1421/klagomålsmail/A 5617-2024 FSC-klagomål mail.docx", "A 5617-2024")</f>
        <v/>
      </c>
      <c r="X183">
        <f>HYPERLINK("https://klasma.github.io/Logging_1421/tillsyn/A 5617-2024 tillsynsbegäran.docx", "A 5617-2024")</f>
        <v/>
      </c>
      <c r="Y183">
        <f>HYPERLINK("https://klasma.github.io/Logging_1421/tillsynsmail/A 5617-2024 tillsynsbegäran mail.docx", "A 5617-2024")</f>
        <v/>
      </c>
    </row>
    <row r="184" ht="15" customHeight="1">
      <c r="A184" t="inlineStr">
        <is>
          <t>A 5715-2024</t>
        </is>
      </c>
      <c r="B184" s="1" t="n">
        <v>45334</v>
      </c>
      <c r="C184" s="1" t="n">
        <v>45363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45363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45363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45363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45363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45363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45363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2024-03-12T14:00:26Z</dcterms:created>
  <dcterms:modified xmlns:dcterms="http://purl.org/dc/terms/" xmlns:xsi="http://www.w3.org/2001/XMLSchema-instance" xsi:type="dcterms:W3CDTF">2024-03-12T14:00:26Z</dcterms:modified>
</cp:coreProperties>
</file>