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46313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46313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46313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45597</v>
      </c>
      <c r="E5" s="1" t="n">
        <v>46313</v>
      </c>
      <c r="F5" t="inlineStr">
        <is>
          <t>VÄSTRA GÖTALANDS LÄN</t>
        </is>
      </c>
      <c r="G5" t="inlineStr">
        <is>
          <t>ORUST</t>
        </is>
      </c>
      <c r="I5" t="n">
        <v>16.6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5</v>
      </c>
      <c r="V5" s="2" t="inlineStr">
        <is>
          <t>Motaggsvamp
Svart trolldruva
Revlummer
Äkta lopplummer</t>
        </is>
      </c>
      <c r="W5">
        <f>HYPERLINK("https://klasma.github.io/Logging_1421/artfynd/A 49930-2024 artfynd.xlsx", "A 49930-2024")</f>
        <v/>
      </c>
      <c r="X5">
        <f>HYPERLINK("https://klasma.github.io/Logging_1421/kartor/A 49930-2024 karta.png", "A 49930-2024")</f>
        <v/>
      </c>
      <c r="Y5">
        <f>HYPERLINK("https://klasma.github.io/Logging_1421/kartor_geotiff/A 49930-2024 georefererad karta.tif", "A 49930-2024")</f>
        <v/>
      </c>
      <c r="AA5">
        <f>HYPERLINK("https://klasma.github.io/Logging_1421/klagomål/A 49930-2024 FSC-klagomål.docx", "A 49930-2024")</f>
        <v/>
      </c>
      <c r="AB5">
        <f>HYPERLINK("https://klasma.github.io/Logging_1421/klagomålsmail/A 49930-2024 FSC-klagomål mail.docx", "A 49930-2024")</f>
        <v/>
      </c>
      <c r="AC5">
        <f>HYPERLINK("https://klasma.github.io/Logging_1421/tillsyn/A 49930-2024 tillsynsbegäran.docx", "A 49930-2024")</f>
        <v/>
      </c>
      <c r="AD5">
        <f>HYPERLINK("https://klasma.github.io/Logging_1421/tillsynsmail/A 49930-2024 tillsynsbegäran mail.docx", "A 49930-2024")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46313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46313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63419-2023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45274</v>
      </c>
      <c r="E8" s="1" t="n">
        <v>46313</v>
      </c>
      <c r="F8" t="inlineStr">
        <is>
          <t>VÄSTRA GÖTALANDS LÄN</t>
        </is>
      </c>
      <c r="G8" t="inlineStr">
        <is>
          <t>ORUST</t>
        </is>
      </c>
      <c r="I8" t="n">
        <v>6.4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Björktrast
Rödvingetrast
Gröngöling</t>
        </is>
      </c>
      <c r="W8">
        <f>HYPERLINK("https://klasma.github.io/Logging_1421/artfynd/A 63419-2023 artfynd.xlsx", "A 63419-2023")</f>
        <v/>
      </c>
      <c r="X8">
        <f>HYPERLINK("https://klasma.github.io/Logging_1421/kartor/A 63419-2023 karta.png", "A 63419-2023")</f>
        <v/>
      </c>
      <c r="Y8">
        <f>HYPERLINK("https://klasma.github.io/Logging_1421/kartor_geotiff/A 63419-2023 georefererad karta.tif", "A 63419-2023")</f>
        <v/>
      </c>
      <c r="AA8">
        <f>HYPERLINK("https://klasma.github.io/Logging_1421/klagomål/A 63419-2023 FSC-klagomål.docx", "A 63419-2023")</f>
        <v/>
      </c>
      <c r="AB8">
        <f>HYPERLINK("https://klasma.github.io/Logging_1421/klagomålsmail/A 63419-2023 FSC-klagomål mail.docx", "A 63419-2023")</f>
        <v/>
      </c>
      <c r="AC8">
        <f>HYPERLINK("https://klasma.github.io/Logging_1421/tillsyn/A 63419-2023 tillsynsbegäran.docx", "A 63419-2023")</f>
        <v/>
      </c>
      <c r="AD8">
        <f>HYPERLINK("https://klasma.github.io/Logging_1421/tillsynsmail/A 63419-2023 tillsynsbegäran mail.docx", "A 63419-2023")</f>
        <v/>
      </c>
      <c r="AE8">
        <f>HYPERLINK("https://klasma.github.io/Logging_1421/fåglar/A 63419-2023 prioriterade fågelarter.docx", "A 63419-2023")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46313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40270-2024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45554</v>
      </c>
      <c r="E10" s="1" t="n">
        <v>46313</v>
      </c>
      <c r="F10" t="inlineStr">
        <is>
          <t>VÄSTRA GÖTALANDS LÄN</t>
        </is>
      </c>
      <c r="G10" t="inlineStr">
        <is>
          <t>ORUST</t>
        </is>
      </c>
      <c r="I10" t="n">
        <v>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Knärot</t>
        </is>
      </c>
      <c r="W10">
        <f>HYPERLINK("https://klasma.github.io/Logging_1421/artfynd/A 40270-2024 artfynd.xlsx", "A 40270-2024")</f>
        <v/>
      </c>
      <c r="X10">
        <f>HYPERLINK("https://klasma.github.io/Logging_1421/kartor/A 40270-2024 karta.png", "A 40270-2024")</f>
        <v/>
      </c>
      <c r="Y10">
        <f>HYPERLINK("https://klasma.github.io/Logging_1421/kartor_geotiff/A 40270-2024 georefererad karta.tif", "A 40270-2024")</f>
        <v/>
      </c>
      <c r="Z10">
        <f>HYPERLINK("https://klasma.github.io/Logging_1421/knärot/A 40270-2024 karta knärot.png", "A 40270-2024")</f>
        <v/>
      </c>
      <c r="AA10">
        <f>HYPERLINK("https://klasma.github.io/Logging_1421/klagomål/A 40270-2024 FSC-klagomål.docx", "A 40270-2024")</f>
        <v/>
      </c>
      <c r="AB10">
        <f>HYPERLINK("https://klasma.github.io/Logging_1421/klagomålsmail/A 40270-2024 FSC-klagomål mail.docx", "A 40270-2024")</f>
        <v/>
      </c>
      <c r="AC10">
        <f>HYPERLINK("https://klasma.github.io/Logging_1421/tillsyn/A 40270-2024 tillsynsbegäran.docx", "A 40270-2024")</f>
        <v/>
      </c>
      <c r="AD10">
        <f>HYPERLINK("https://klasma.github.io/Logging_1421/tillsynsmail/A 40270-2024 tillsynsbegäran mail.docx", "A 40270-2024")</f>
        <v/>
      </c>
    </row>
    <row r="11" ht="15" customHeight="1">
      <c r="A11" t="inlineStr">
        <is>
          <t>A 49047-2025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46313</v>
      </c>
      <c r="F11" t="inlineStr">
        <is>
          <t>VÄSTRA GÖTALANDS LÄN</t>
        </is>
      </c>
      <c r="G11" t="inlineStr">
        <is>
          <t>ORUST</t>
        </is>
      </c>
      <c r="I11" t="n">
        <v>3.2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HYPERLINK("https://klasma.github.io/Logging_1421/artfynd/A 49047-2025 artfynd.xlsx", "A 49047-2025")</f>
        <v/>
      </c>
      <c r="X11">
        <f>HYPERLINK("https://klasma.github.io/Logging_1421/kartor/A 49047-2025 karta.png", "A 49047-2025")</f>
        <v/>
      </c>
      <c r="Y11">
        <f>HYPERLINK("https://klasma.github.io/Logging_1421/kartor_geotiff/A 49047-2025 georefererad karta.tif", "A 49047-2025")</f>
        <v/>
      </c>
      <c r="AA11">
        <f>HYPERLINK("https://klasma.github.io/Logging_1421/klagomål/A 49047-2025 FSC-klagomål.docx", "A 49047-2025")</f>
        <v/>
      </c>
      <c r="AB11">
        <f>HYPERLINK("https://klasma.github.io/Logging_1421/klagomålsmail/A 49047-2025 FSC-klagomål mail.docx", "A 49047-2025")</f>
        <v/>
      </c>
      <c r="AC11">
        <f>HYPERLINK("https://klasma.github.io/Logging_1421/tillsyn/A 49047-2025 tillsynsbegäran.docx", "A 49047-2025")</f>
        <v/>
      </c>
      <c r="AD11">
        <f>HYPERLINK("https://klasma.github.io/Logging_1421/tillsynsmail/A 49047-2025 tillsynsbegäran mail.docx", "A 49047-2025")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46313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46313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46313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46313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13220-2024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45386</v>
      </c>
      <c r="E16" s="1" t="n">
        <v>46313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13220-2024 artfynd.xlsx", "A 13220-2024")</f>
        <v/>
      </c>
      <c r="X16">
        <f>HYPERLINK("https://klasma.github.io/Logging_1421/kartor/A 13220-2024 karta.png", "A 13220-2024")</f>
        <v/>
      </c>
      <c r="Y16">
        <f>HYPERLINK("https://klasma.github.io/Logging_1421/kartor_geotiff/A 13220-2024 georefererad karta.tif", "A 13220-2024")</f>
        <v/>
      </c>
      <c r="Z16">
        <f>HYPERLINK("https://klasma.github.io/Logging_1421/knärot/A 13220-2024 karta knärot.png", "A 13220-2024")</f>
        <v/>
      </c>
      <c r="AA16">
        <f>HYPERLINK("https://klasma.github.io/Logging_1421/klagomål/A 13220-2024 FSC-klagomål.docx", "A 13220-2024")</f>
        <v/>
      </c>
      <c r="AB16">
        <f>HYPERLINK("https://klasma.github.io/Logging_1421/klagomålsmail/A 13220-2024 FSC-klagomål mail.docx", "A 13220-2024")</f>
        <v/>
      </c>
      <c r="AC16">
        <f>HYPERLINK("https://klasma.github.io/Logging_1421/tillsyn/A 13220-2024 tillsynsbegäran.docx", "A 13220-2024")</f>
        <v/>
      </c>
      <c r="AD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46313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46313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23921-2026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46313</v>
      </c>
      <c r="F19" t="inlineStr">
        <is>
          <t>VÄSTRA GÖTALANDS LÄN</t>
        </is>
      </c>
      <c r="G19" t="inlineStr">
        <is>
          <t>ORUST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Västlig hakmossa</t>
        </is>
      </c>
      <c r="W19">
        <f>HYPERLINK("https://klasma.github.io/Logging_1421/artfynd/A 23921-2026 artfynd.xlsx", "A 23921-2026")</f>
        <v/>
      </c>
      <c r="X19">
        <f>HYPERLINK("https://klasma.github.io/Logging_1421/kartor/A 23921-2026 karta.png", "A 23921-2026")</f>
        <v/>
      </c>
      <c r="Y19">
        <f>HYPERLINK("https://klasma.github.io/Logging_1421/kartor_geotiff/A 23921-2026 georefererad karta.tif", "A 23921-2026")</f>
        <v/>
      </c>
      <c r="AA19">
        <f>HYPERLINK("https://klasma.github.io/Logging_1421/klagomål/A 23921-2026 FSC-klagomål.docx", "A 23921-2026")</f>
        <v/>
      </c>
      <c r="AB19">
        <f>HYPERLINK("https://klasma.github.io/Logging_1421/klagomålsmail/A 23921-2026 FSC-klagomål mail.docx", "A 23921-2026")</f>
        <v/>
      </c>
      <c r="AC19">
        <f>HYPERLINK("https://klasma.github.io/Logging_1421/tillsyn/A 23921-2026 tillsynsbegäran.docx", "A 23921-2026")</f>
        <v/>
      </c>
      <c r="AD19">
        <f>HYPERLINK("https://klasma.github.io/Logging_1421/tillsynsmail/A 23921-2026 tillsynsbegäran mail.docx", "A 23921-2026")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46313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46313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46313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46313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5634-2025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46313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HYPERLINK("https://klasma.github.io/Logging_1421/artfynd/A 5634-2025 artfynd.xlsx", "A 5634-2025")</f>
        <v/>
      </c>
      <c r="X24">
        <f>HYPERLINK("https://klasma.github.io/Logging_1421/kartor/A 5634-2025 karta.png", "A 5634-2025")</f>
        <v/>
      </c>
      <c r="Y24">
        <f>HYPERLINK("https://klasma.github.io/Logging_1421/kartor_geotiff/A 5634-2025 georefererad karta.tif", "A 5634-2025")</f>
        <v/>
      </c>
      <c r="Z24">
        <f>HYPERLINK("https://klasma.github.io/Logging_1421/knärot/A 5634-2025 karta knärot.png", "A 5634-2025")</f>
        <v/>
      </c>
      <c r="AA24">
        <f>HYPERLINK("https://klasma.github.io/Logging_1421/klagomål/A 5634-2025 FSC-klagomål.docx", "A 5634-2025")</f>
        <v/>
      </c>
      <c r="AB24">
        <f>HYPERLINK("https://klasma.github.io/Logging_1421/klagomålsmail/A 5634-2025 FSC-klagomål mail.docx", "A 5634-2025")</f>
        <v/>
      </c>
      <c r="AC24">
        <f>HYPERLINK("https://klasma.github.io/Logging_1421/tillsyn/A 5634-2025 tillsynsbegäran.docx", "A 5634-2025")</f>
        <v/>
      </c>
      <c r="AD24">
        <f>HYPERLINK("https://klasma.github.io/Logging_1421/tillsynsmail/A 5634-2025 tillsynsbegäran mail.docx", "A 5634-2025")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46313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46313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46313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46313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46313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46313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46313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46313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46313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46313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46313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46313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46313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46313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46313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45268</v>
      </c>
      <c r="E40" s="1" t="n">
        <v>46313</v>
      </c>
      <c r="F40" t="inlineStr">
        <is>
          <t>VÄSTRA GÖTALANDS LÄN</t>
        </is>
      </c>
      <c r="G40" t="inlineStr">
        <is>
          <t>ORUST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34217-2022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44791</v>
      </c>
      <c r="E41" s="1" t="n">
        <v>46313</v>
      </c>
      <c r="F41" t="inlineStr">
        <is>
          <t>VÄSTRA GÖTALANDS LÄN</t>
        </is>
      </c>
      <c r="G41" t="inlineStr">
        <is>
          <t>ORUST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22750-2024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45448</v>
      </c>
      <c r="E42" s="1" t="n">
        <v>46313</v>
      </c>
      <c r="F42" t="inlineStr">
        <is>
          <t>VÄSTRA GÖTALANDS LÄN</t>
        </is>
      </c>
      <c r="G42" t="inlineStr">
        <is>
          <t>ORUST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36999-2023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45155</v>
      </c>
      <c r="E43" s="1" t="n">
        <v>46313</v>
      </c>
      <c r="F43" t="inlineStr">
        <is>
          <t>VÄSTRA GÖTALANDS LÄN</t>
        </is>
      </c>
      <c r="G43" t="inlineStr">
        <is>
          <t>ORUST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57877-2022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44899</v>
      </c>
      <c r="E44" s="1" t="n">
        <v>46313</v>
      </c>
      <c r="F44" t="inlineStr">
        <is>
          <t>VÄSTRA GÖTALANDS LÄN</t>
        </is>
      </c>
      <c r="G44" t="inlineStr">
        <is>
          <t>ORUST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45045</v>
      </c>
      <c r="E45" s="1" t="n">
        <v>46313</v>
      </c>
      <c r="F45" t="inlineStr">
        <is>
          <t>VÄSTRA GÖTALANDS LÄN</t>
        </is>
      </c>
      <c r="G45" t="inlineStr">
        <is>
          <t>ORUST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46313</v>
      </c>
      <c r="F46" t="inlineStr">
        <is>
          <t>VÄSTRA GÖTALANDS LÄN</t>
        </is>
      </c>
      <c r="G46" t="inlineStr">
        <is>
          <t>ORUST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44888</v>
      </c>
      <c r="E47" s="1" t="n">
        <v>46313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46313</v>
      </c>
      <c r="F48" t="inlineStr">
        <is>
          <t>VÄSTRA GÖTALANDS LÄN</t>
        </is>
      </c>
      <c r="G48" t="inlineStr">
        <is>
          <t>ORUST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46313</v>
      </c>
      <c r="F49" t="inlineStr">
        <is>
          <t>VÄSTRA GÖTALANDS LÄN</t>
        </is>
      </c>
      <c r="G49" t="inlineStr">
        <is>
          <t>ORUST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46313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46313</v>
      </c>
      <c r="F51" t="inlineStr">
        <is>
          <t>VÄSTRA GÖTALANDS LÄN</t>
        </is>
      </c>
      <c r="G51" t="inlineStr">
        <is>
          <t>ORUST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51993-2022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46313</v>
      </c>
      <c r="F52" t="inlineStr">
        <is>
          <t>VÄSTRA GÖTALANDS LÄN</t>
        </is>
      </c>
      <c r="G52" t="inlineStr">
        <is>
          <t>ORUST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46313</v>
      </c>
      <c r="F53" t="inlineStr">
        <is>
          <t>VÄSTRA GÖTALANDS LÄN</t>
        </is>
      </c>
      <c r="G53" t="inlineStr">
        <is>
          <t>ORUST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45005</v>
      </c>
      <c r="E54" s="1" t="n">
        <v>46313</v>
      </c>
      <c r="F54" t="inlineStr">
        <is>
          <t>VÄSTRA GÖTALANDS LÄN</t>
        </is>
      </c>
      <c r="G54" t="inlineStr">
        <is>
          <t>ORUST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25925-2024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45467</v>
      </c>
      <c r="E55" s="1" t="n">
        <v>46313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45667</v>
      </c>
      <c r="E56" s="1" t="n">
        <v>46313</v>
      </c>
      <c r="F56" t="inlineStr">
        <is>
          <t>VÄSTRA GÖTALANDS LÄN</t>
        </is>
      </c>
      <c r="G56" t="inlineStr">
        <is>
          <t>ORUST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46313</v>
      </c>
      <c r="F57" t="inlineStr">
        <is>
          <t>VÄSTRA GÖTALANDS LÄN</t>
        </is>
      </c>
      <c r="G57" t="inlineStr">
        <is>
          <t>ORUST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34500-2025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46313</v>
      </c>
      <c r="F58" t="inlineStr">
        <is>
          <t>VÄSTRA GÖTALANDS LÄN</t>
        </is>
      </c>
      <c r="G58" t="inlineStr">
        <is>
          <t>ORUST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27277-2025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46313</v>
      </c>
      <c r="F59" t="inlineStr">
        <is>
          <t>VÄSTRA GÖTALANDS LÄN</t>
        </is>
      </c>
      <c r="G59" t="inlineStr">
        <is>
          <t>ORUST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44924</v>
      </c>
      <c r="E60" s="1" t="n">
        <v>46313</v>
      </c>
      <c r="F60" t="inlineStr">
        <is>
          <t>VÄSTRA GÖTALANDS LÄN</t>
        </is>
      </c>
      <c r="G60" t="inlineStr">
        <is>
          <t>ORUST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46313</v>
      </c>
      <c r="F61" t="inlineStr">
        <is>
          <t>VÄSTRA GÖTALANDS LÄN</t>
        </is>
      </c>
      <c r="G61" t="inlineStr">
        <is>
          <t>ORUST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46313</v>
      </c>
      <c r="F62" t="inlineStr">
        <is>
          <t>VÄSTRA GÖTALANDS LÄN</t>
        </is>
      </c>
      <c r="G62" t="inlineStr">
        <is>
          <t>ORUST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46313</v>
      </c>
      <c r="F63" t="inlineStr">
        <is>
          <t>VÄSTRA GÖTALANDS LÄN</t>
        </is>
      </c>
      <c r="G63" t="inlineStr">
        <is>
          <t>ORUST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45336</v>
      </c>
      <c r="E64" s="1" t="n">
        <v>46313</v>
      </c>
      <c r="F64" t="inlineStr">
        <is>
          <t>VÄSTRA GÖTALANDS LÄN</t>
        </is>
      </c>
      <c r="G64" t="inlineStr">
        <is>
          <t>ORUST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46313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46313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46313</v>
      </c>
      <c r="F67" t="inlineStr">
        <is>
          <t>VÄSTRA GÖTALANDS LÄN</t>
        </is>
      </c>
      <c r="G67" t="inlineStr">
        <is>
          <t>ORUST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46313</v>
      </c>
      <c r="F68" t="inlineStr">
        <is>
          <t>VÄSTRA GÖTALANDS LÄN</t>
        </is>
      </c>
      <c r="G68" t="inlineStr">
        <is>
          <t>ORUST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46313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45771</v>
      </c>
      <c r="E70" s="1" t="n">
        <v>46313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46313</v>
      </c>
      <c r="F71" t="inlineStr">
        <is>
          <t>VÄSTRA GÖTALANDS LÄN</t>
        </is>
      </c>
      <c r="G71" t="inlineStr">
        <is>
          <t>ORUST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46313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46313</v>
      </c>
      <c r="F73" t="inlineStr">
        <is>
          <t>VÄSTRA GÖTALANDS LÄN</t>
        </is>
      </c>
      <c r="G73" t="inlineStr">
        <is>
          <t>ORUST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46313</v>
      </c>
      <c r="F74" t="inlineStr">
        <is>
          <t>VÄSTRA GÖTALANDS LÄN</t>
        </is>
      </c>
      <c r="G74" t="inlineStr">
        <is>
          <t>ORUST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46313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46313</v>
      </c>
      <c r="F76" t="inlineStr">
        <is>
          <t>VÄSTRA GÖTALANDS LÄN</t>
        </is>
      </c>
      <c r="G76" t="inlineStr">
        <is>
          <t>ORUST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46313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45641</v>
      </c>
      <c r="E78" s="1" t="n">
        <v>46313</v>
      </c>
      <c r="F78" t="inlineStr">
        <is>
          <t>VÄSTRA GÖTALANDS LÄN</t>
        </is>
      </c>
      <c r="G78" t="inlineStr">
        <is>
          <t>ORUST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14609-2024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45396</v>
      </c>
      <c r="E79" s="1" t="n">
        <v>46313</v>
      </c>
      <c r="F79" t="inlineStr">
        <is>
          <t>VÄSTRA GÖTALANDS LÄN</t>
        </is>
      </c>
      <c r="G79" t="inlineStr">
        <is>
          <t>ORUST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45181</v>
      </c>
      <c r="E80" s="1" t="n">
        <v>46313</v>
      </c>
      <c r="F80" t="inlineStr">
        <is>
          <t>VÄSTRA GÖTALANDS LÄN</t>
        </is>
      </c>
      <c r="G80" t="inlineStr">
        <is>
          <t>ORUST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45601</v>
      </c>
      <c r="E81" s="1" t="n">
        <v>46313</v>
      </c>
      <c r="F81" t="inlineStr">
        <is>
          <t>VÄSTRA GÖTALANDS LÄN</t>
        </is>
      </c>
      <c r="G81" t="inlineStr">
        <is>
          <t>ORUST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46313</v>
      </c>
      <c r="F82" t="inlineStr">
        <is>
          <t>VÄSTRA GÖTALANDS LÄN</t>
        </is>
      </c>
      <c r="G82" t="inlineStr">
        <is>
          <t>ORUST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46313</v>
      </c>
      <c r="F83" t="inlineStr">
        <is>
          <t>VÄSTRA GÖTALANDS LÄN</t>
        </is>
      </c>
      <c r="G83" t="inlineStr">
        <is>
          <t>ORUST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46313</v>
      </c>
      <c r="F84" t="inlineStr">
        <is>
          <t>VÄSTRA GÖTALANDS LÄN</t>
        </is>
      </c>
      <c r="G84" t="inlineStr">
        <is>
          <t>ORUST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46313</v>
      </c>
      <c r="F85" t="inlineStr">
        <is>
          <t>VÄSTRA GÖTALANDS LÄN</t>
        </is>
      </c>
      <c r="G85" t="inlineStr">
        <is>
          <t>ORUST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45558</v>
      </c>
      <c r="E86" s="1" t="n">
        <v>46313</v>
      </c>
      <c r="F86" t="inlineStr">
        <is>
          <t>VÄSTRA GÖTALANDS LÄN</t>
        </is>
      </c>
      <c r="G86" t="inlineStr">
        <is>
          <t>ORUST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45535</v>
      </c>
      <c r="E87" s="1" t="n">
        <v>46313</v>
      </c>
      <c r="F87" t="inlineStr">
        <is>
          <t>VÄSTRA GÖTALANDS LÄN</t>
        </is>
      </c>
      <c r="G87" t="inlineStr">
        <is>
          <t>ORUST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45992</v>
      </c>
      <c r="E88" s="1" t="n">
        <v>46313</v>
      </c>
      <c r="F88" t="inlineStr">
        <is>
          <t>VÄSTRA GÖTALANDS LÄN</t>
        </is>
      </c>
      <c r="G88" t="inlineStr">
        <is>
          <t>ORUST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46313</v>
      </c>
      <c r="F89" t="inlineStr">
        <is>
          <t>VÄSTRA GÖTALANDS LÄN</t>
        </is>
      </c>
      <c r="G89" t="inlineStr">
        <is>
          <t>ORUST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46313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46313</v>
      </c>
      <c r="F91" t="inlineStr">
        <is>
          <t>VÄSTRA GÖTALANDS LÄN</t>
        </is>
      </c>
      <c r="G91" t="inlineStr">
        <is>
          <t>ORUST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46313</v>
      </c>
      <c r="F92" t="inlineStr">
        <is>
          <t>VÄSTRA GÖTALANDS LÄN</t>
        </is>
      </c>
      <c r="G92" t="inlineStr">
        <is>
          <t>ORUST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49822-2022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46313</v>
      </c>
      <c r="F93" t="inlineStr">
        <is>
          <t>VÄSTRA GÖTALANDS LÄN</t>
        </is>
      </c>
      <c r="G93" t="inlineStr">
        <is>
          <t>ORUST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46313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25138-2026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46313</v>
      </c>
      <c r="F95" t="inlineStr">
        <is>
          <t>VÄSTRA GÖTALANDS LÄN</t>
        </is>
      </c>
      <c r="G95" t="inlineStr">
        <is>
          <t>ORUST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46313</v>
      </c>
      <c r="F96" t="inlineStr">
        <is>
          <t>VÄSTRA GÖTALANDS LÄN</t>
        </is>
      </c>
      <c r="G96" t="inlineStr">
        <is>
          <t>ORUST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46313</v>
      </c>
      <c r="F97" t="inlineStr">
        <is>
          <t>VÄSTRA GÖTALANDS LÄN</t>
        </is>
      </c>
      <c r="G97" t="inlineStr">
        <is>
          <t>ORUST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46313</v>
      </c>
      <c r="F98" t="inlineStr">
        <is>
          <t>VÄSTRA GÖTALANDS LÄN</t>
        </is>
      </c>
      <c r="G98" t="inlineStr">
        <is>
          <t>ORUST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46313</v>
      </c>
      <c r="F99" t="inlineStr">
        <is>
          <t>VÄSTRA GÖTALANDS LÄN</t>
        </is>
      </c>
      <c r="G99" t="inlineStr">
        <is>
          <t>ORUST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45558</v>
      </c>
      <c r="E100" s="1" t="n">
        <v>46313</v>
      </c>
      <c r="F100" t="inlineStr">
        <is>
          <t>VÄSTRA GÖTALANDS LÄN</t>
        </is>
      </c>
      <c r="G100" t="inlineStr">
        <is>
          <t>ORUST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46313</v>
      </c>
      <c r="F101" t="inlineStr">
        <is>
          <t>VÄSTRA GÖTALANDS LÄN</t>
        </is>
      </c>
      <c r="G101" t="inlineStr">
        <is>
          <t>ORUST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46313</v>
      </c>
      <c r="F102" t="inlineStr">
        <is>
          <t>VÄSTRA GÖTALANDS LÄN</t>
        </is>
      </c>
      <c r="G102" t="inlineStr">
        <is>
          <t>ORUST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9194-2026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46070</v>
      </c>
      <c r="E103" s="1" t="n">
        <v>46313</v>
      </c>
      <c r="F103" t="inlineStr">
        <is>
          <t>VÄSTRA GÖTALANDS LÄN</t>
        </is>
      </c>
      <c r="G103" t="inlineStr">
        <is>
          <t>ORUST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46070</v>
      </c>
      <c r="E104" s="1" t="n">
        <v>46313</v>
      </c>
      <c r="F104" t="inlineStr">
        <is>
          <t>VÄSTRA GÖTALANDS LÄN</t>
        </is>
      </c>
      <c r="G104" t="inlineStr">
        <is>
          <t>ORUST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46075</v>
      </c>
      <c r="E105" s="1" t="n">
        <v>46313</v>
      </c>
      <c r="F105" t="inlineStr">
        <is>
          <t>VÄSTRA GÖTALANDS LÄN</t>
        </is>
      </c>
      <c r="G105" t="inlineStr">
        <is>
          <t>ORUST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46086</v>
      </c>
      <c r="E106" s="1" t="n">
        <v>46313</v>
      </c>
      <c r="F106" t="inlineStr">
        <is>
          <t>VÄSTRA GÖTALANDS LÄN</t>
        </is>
      </c>
      <c r="G106" t="inlineStr">
        <is>
          <t>ORUST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45058</v>
      </c>
      <c r="E107" s="1" t="n">
        <v>46313</v>
      </c>
      <c r="F107" t="inlineStr">
        <is>
          <t>VÄSTRA GÖTALANDS LÄN</t>
        </is>
      </c>
      <c r="G107" t="inlineStr">
        <is>
          <t>ORUST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46313</v>
      </c>
      <c r="F108" t="inlineStr">
        <is>
          <t>VÄSTRA GÖTALANDS LÄN</t>
        </is>
      </c>
      <c r="G108" t="inlineStr">
        <is>
          <t>ORUST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46313</v>
      </c>
      <c r="F109" t="inlineStr">
        <is>
          <t>VÄSTRA GÖTALANDS LÄN</t>
        </is>
      </c>
      <c r="G109" t="inlineStr">
        <is>
          <t>ORUST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45339</v>
      </c>
      <c r="E110" s="1" t="n">
        <v>46313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46313</v>
      </c>
      <c r="F111" t="inlineStr">
        <is>
          <t>VÄSTRA GÖTALANDS LÄN</t>
        </is>
      </c>
      <c r="G111" t="inlineStr">
        <is>
          <t>ORUST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46313</v>
      </c>
      <c r="F112" t="inlineStr">
        <is>
          <t>VÄSTRA GÖTALANDS LÄN</t>
        </is>
      </c>
      <c r="G112" t="inlineStr">
        <is>
          <t>ORUST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39206-2024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46313</v>
      </c>
      <c r="F113" t="inlineStr">
        <is>
          <t>VÄSTRA GÖTALANDS LÄN</t>
        </is>
      </c>
      <c r="G113" t="inlineStr">
        <is>
          <t>ORUST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46313</v>
      </c>
      <c r="F114" t="inlineStr">
        <is>
          <t>VÄSTRA GÖTALANDS LÄN</t>
        </is>
      </c>
      <c r="G114" t="inlineStr">
        <is>
          <t>ORUST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34056-2024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45523</v>
      </c>
      <c r="E115" s="1" t="n">
        <v>46313</v>
      </c>
      <c r="F115" t="inlineStr">
        <is>
          <t>VÄSTRA GÖTALANDS LÄN</t>
        </is>
      </c>
      <c r="G115" t="inlineStr">
        <is>
          <t>ORUST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46280</v>
      </c>
      <c r="E116" s="1" t="n">
        <v>46313</v>
      </c>
      <c r="F116" t="inlineStr">
        <is>
          <t>VÄSTRA GÖTALANDS LÄN</t>
        </is>
      </c>
      <c r="G116" t="inlineStr">
        <is>
          <t>ORUST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44655</v>
      </c>
      <c r="E117" s="1" t="n">
        <v>46313</v>
      </c>
      <c r="F117" t="inlineStr">
        <is>
          <t>VÄSTRA GÖTALANDS LÄN</t>
        </is>
      </c>
      <c r="G117" t="inlineStr">
        <is>
          <t>ORUST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45044</v>
      </c>
      <c r="E118" s="1" t="n">
        <v>46313</v>
      </c>
      <c r="F118" t="inlineStr">
        <is>
          <t>VÄSTRA GÖTALANDS LÄN</t>
        </is>
      </c>
      <c r="G118" t="inlineStr">
        <is>
          <t>ORUST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46313</v>
      </c>
      <c r="F119" t="inlineStr">
        <is>
          <t>VÄSTRA GÖTALANDS LÄN</t>
        </is>
      </c>
      <c r="G119" t="inlineStr">
        <is>
          <t>ORUST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46313</v>
      </c>
      <c r="F120" t="inlineStr">
        <is>
          <t>VÄSTRA GÖTALANDS LÄN</t>
        </is>
      </c>
      <c r="G120" t="inlineStr">
        <is>
          <t>ORUST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32175-2024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45511</v>
      </c>
      <c r="E121" s="1" t="n">
        <v>46313</v>
      </c>
      <c r="F121" t="inlineStr">
        <is>
          <t>VÄSTRA GÖTALANDS LÄN</t>
        </is>
      </c>
      <c r="G121" t="inlineStr">
        <is>
          <t>ORUST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46313</v>
      </c>
      <c r="F122" t="inlineStr">
        <is>
          <t>VÄSTRA GÖTALANDS LÄN</t>
        </is>
      </c>
      <c r="G122" t="inlineStr">
        <is>
          <t>ORUST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45198</v>
      </c>
      <c r="E123" s="1" t="n">
        <v>46313</v>
      </c>
      <c r="F123" t="inlineStr">
        <is>
          <t>VÄSTRA GÖTALANDS LÄN</t>
        </is>
      </c>
      <c r="G123" t="inlineStr">
        <is>
          <t>ORUST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44919</v>
      </c>
      <c r="E124" s="1" t="n">
        <v>46313</v>
      </c>
      <c r="F124" t="inlineStr">
        <is>
          <t>VÄSTRA GÖTALANDS LÄN</t>
        </is>
      </c>
      <c r="G124" t="inlineStr">
        <is>
          <t>ORUST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46313</v>
      </c>
      <c r="F125" t="inlineStr">
        <is>
          <t>VÄSTRA GÖTALANDS LÄN</t>
        </is>
      </c>
      <c r="G125" t="inlineStr">
        <is>
          <t>ORUST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46313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45014</v>
      </c>
      <c r="E127" s="1" t="n">
        <v>46313</v>
      </c>
      <c r="F127" t="inlineStr">
        <is>
          <t>VÄSTRA GÖTALANDS LÄN</t>
        </is>
      </c>
      <c r="G127" t="inlineStr">
        <is>
          <t>ORUST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45313</v>
      </c>
      <c r="E128" s="1" t="n">
        <v>46313</v>
      </c>
      <c r="F128" t="inlineStr">
        <is>
          <t>VÄSTRA GÖTALANDS LÄN</t>
        </is>
      </c>
      <c r="G128" t="inlineStr">
        <is>
          <t>ORUST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45130</v>
      </c>
      <c r="E129" s="1" t="n">
        <v>46313</v>
      </c>
      <c r="F129" t="inlineStr">
        <is>
          <t>VÄSTRA GÖTALANDS LÄN</t>
        </is>
      </c>
      <c r="G129" t="inlineStr">
        <is>
          <t>ORUST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46213</v>
      </c>
      <c r="E130" s="1" t="n">
        <v>46313</v>
      </c>
      <c r="F130" t="inlineStr">
        <is>
          <t>VÄSTRA GÖTALANDS LÄN</t>
        </is>
      </c>
      <c r="G130" t="inlineStr">
        <is>
          <t>ORUST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46300</v>
      </c>
      <c r="E131" s="1" t="n">
        <v>46313</v>
      </c>
      <c r="F131" t="inlineStr">
        <is>
          <t>VÄSTRA GÖTALANDS LÄN</t>
        </is>
      </c>
      <c r="G131" t="inlineStr">
        <is>
          <t>ORUST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45790</v>
      </c>
      <c r="E132" s="1" t="n">
        <v>46313</v>
      </c>
      <c r="F132" t="inlineStr">
        <is>
          <t>VÄSTRA GÖTALANDS LÄN</t>
        </is>
      </c>
      <c r="G132" t="inlineStr">
        <is>
          <t>ORUST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46313</v>
      </c>
      <c r="F133" t="inlineStr">
        <is>
          <t>VÄSTRA GÖTALANDS LÄN</t>
        </is>
      </c>
      <c r="G133" t="inlineStr">
        <is>
          <t>ORUST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45718</v>
      </c>
      <c r="E134" s="1" t="n">
        <v>46313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46313</v>
      </c>
      <c r="F135" t="inlineStr">
        <is>
          <t>VÄSTRA GÖTALANDS LÄN</t>
        </is>
      </c>
      <c r="G135" t="inlineStr">
        <is>
          <t>ORUST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46313</v>
      </c>
      <c r="F136" t="inlineStr">
        <is>
          <t>VÄSTRA GÖTALANDS LÄN</t>
        </is>
      </c>
      <c r="G136" t="inlineStr">
        <is>
          <t>ORUST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46304</v>
      </c>
      <c r="E137" s="1" t="n">
        <v>46313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46304</v>
      </c>
      <c r="E138" s="1" t="n">
        <v>46313</v>
      </c>
      <c r="F138" t="inlineStr">
        <is>
          <t>VÄSTRA GÖTALANDS LÄN</t>
        </is>
      </c>
      <c r="G138" t="inlineStr">
        <is>
          <t>ORUST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45797</v>
      </c>
      <c r="E139" s="1" t="n">
        <v>46313</v>
      </c>
      <c r="F139" t="inlineStr">
        <is>
          <t>VÄSTRA GÖTALANDS LÄN</t>
        </is>
      </c>
      <c r="G139" t="inlineStr">
        <is>
          <t>ORUST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46313</v>
      </c>
      <c r="F140" t="inlineStr">
        <is>
          <t>VÄSTRA GÖTALANDS LÄN</t>
        </is>
      </c>
      <c r="G140" t="inlineStr">
        <is>
          <t>ORUST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46313</v>
      </c>
      <c r="F141" t="inlineStr">
        <is>
          <t>VÄSTRA GÖTALANDS LÄN</t>
        </is>
      </c>
      <c r="G141" t="inlineStr">
        <is>
          <t>ORUST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45573</v>
      </c>
      <c r="E142" s="1" t="n">
        <v>46313</v>
      </c>
      <c r="F142" t="inlineStr">
        <is>
          <t>VÄSTRA GÖTALANDS LÄN</t>
        </is>
      </c>
      <c r="G142" t="inlineStr">
        <is>
          <t>ORUST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46313</v>
      </c>
      <c r="F143" t="inlineStr">
        <is>
          <t>VÄSTRA GÖTALANDS LÄN</t>
        </is>
      </c>
      <c r="G143" t="inlineStr">
        <is>
          <t>ORUST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46269</v>
      </c>
      <c r="E144" s="1" t="n">
        <v>46313</v>
      </c>
      <c r="F144" t="inlineStr">
        <is>
          <t>VÄSTRA GÖTALANDS LÄN</t>
        </is>
      </c>
      <c r="G144" t="inlineStr">
        <is>
          <t>ORUST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45616</v>
      </c>
      <c r="E145" s="1" t="n">
        <v>46313</v>
      </c>
      <c r="F145" t="inlineStr">
        <is>
          <t>VÄSTRA GÖTALANDS LÄN</t>
        </is>
      </c>
      <c r="G145" t="inlineStr">
        <is>
          <t>ORUST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46313</v>
      </c>
      <c r="F146" t="inlineStr">
        <is>
          <t>VÄSTRA GÖTALANDS LÄN</t>
        </is>
      </c>
      <c r="G146" t="inlineStr">
        <is>
          <t>ORUST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46313</v>
      </c>
      <c r="F147" t="inlineStr">
        <is>
          <t>VÄSTRA GÖTALANDS LÄN</t>
        </is>
      </c>
      <c r="G147" t="inlineStr">
        <is>
          <t>ORUST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46313</v>
      </c>
      <c r="F148" t="inlineStr">
        <is>
          <t>VÄSTRA GÖTALANDS LÄN</t>
        </is>
      </c>
      <c r="G148" t="inlineStr">
        <is>
          <t>ORUST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46313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45872</v>
      </c>
      <c r="E150" s="1" t="n">
        <v>46313</v>
      </c>
      <c r="F150" t="inlineStr">
        <is>
          <t>VÄSTRA GÖTALANDS LÄN</t>
        </is>
      </c>
      <c r="G150" t="inlineStr">
        <is>
          <t>ORUST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46313</v>
      </c>
      <c r="F151" t="inlineStr">
        <is>
          <t>VÄSTRA GÖTALANDS LÄN</t>
        </is>
      </c>
      <c r="G151" t="inlineStr">
        <is>
          <t>ORUST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2776-2025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45937</v>
      </c>
      <c r="E152" s="1" t="n">
        <v>46313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2026-10-18T08:03:38Z</dcterms:created>
  <dcterms:modified xmlns:dcterms="http://purl.org/dc/terms/" xmlns:xsi="http://www.w3.org/2001/XMLSchema-instance" xsi:type="dcterms:W3CDTF">2026-10-18T08:03:38Z</dcterms:modified>
</cp:coreProperties>
</file>