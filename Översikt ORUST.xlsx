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45992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45992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45992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45992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45992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45992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45992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45992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45992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45992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45992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45992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45992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45992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45992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45992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45992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45992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45992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45992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45992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45992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45992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45992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45992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45992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45992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45992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45992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45992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45992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45992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45992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45992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45992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45992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45992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45992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45992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45992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45992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45992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45992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45992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45992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45992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19005-2023</t>
        </is>
      </c>
      <c r="B56" s="1" t="n">
        <v>45045.60177083333</v>
      </c>
      <c r="C56" s="1" t="n">
        <v>45992</v>
      </c>
      <c r="D56" t="inlineStr">
        <is>
          <t>VÄSTRA GÖTALANDS LÄN</t>
        </is>
      </c>
      <c r="E56" t="inlineStr">
        <is>
          <t>ORUST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45992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45992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45992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34046-2024</t>
        </is>
      </c>
      <c r="B60" s="1" t="n">
        <v>45523.60449074074</v>
      </c>
      <c r="C60" s="1" t="n">
        <v>45992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45992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45992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45992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45992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45992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45992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45992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45992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45992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45992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45992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27277-2025</t>
        </is>
      </c>
      <c r="B72" s="1" t="n">
        <v>45812.52674768519</v>
      </c>
      <c r="C72" s="1" t="n">
        <v>45992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45992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49115-2024</t>
        </is>
      </c>
      <c r="B74" s="1" t="n">
        <v>45594.65954861111</v>
      </c>
      <c r="C74" s="1" t="n">
        <v>45992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27555-2025</t>
        </is>
      </c>
      <c r="B75" s="1" t="n">
        <v>45813.47424768518</v>
      </c>
      <c r="C75" s="1" t="n">
        <v>45992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54279-2024</t>
        </is>
      </c>
      <c r="B76" s="1" t="n">
        <v>45616.855</v>
      </c>
      <c r="C76" s="1" t="n">
        <v>45992</v>
      </c>
      <c r="D76" t="inlineStr">
        <is>
          <t>VÄSTRA GÖTALANDS LÄN</t>
        </is>
      </c>
      <c r="E76" t="inlineStr">
        <is>
          <t>ORUST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45992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45992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45992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45992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45992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45992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44543.78116898148</v>
      </c>
      <c r="C83" s="1" t="n">
        <v>45992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6957-2024</t>
        </is>
      </c>
      <c r="B84" s="1" t="n">
        <v>45343.45112268518</v>
      </c>
      <c r="C84" s="1" t="n">
        <v>45992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45992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40270-2024</t>
        </is>
      </c>
      <c r="B86" s="1" t="n">
        <v>45554.64315972223</v>
      </c>
      <c r="C86" s="1" t="n">
        <v>45992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40270-2024 karta knärot.png", "A 40270-2024")</f>
        <v/>
      </c>
      <c r="V86">
        <f>HYPERLINK("https://klasma.github.io/Logging_1421/klagomål/A 40270-2024 FSC-klagomål.docx", "A 40270-2024")</f>
        <v/>
      </c>
      <c r="W86">
        <f>HYPERLINK("https://klasma.github.io/Logging_1421/klagomålsmail/A 40270-2024 FSC-klagomål mail.docx", "A 40270-2024")</f>
        <v/>
      </c>
      <c r="X86">
        <f>HYPERLINK("https://klasma.github.io/Logging_1421/tillsyn/A 40270-2024 tillsynsbegäran.docx", "A 40270-2024")</f>
        <v/>
      </c>
      <c r="Y86">
        <f>HYPERLINK("https://klasma.github.io/Logging_1421/tillsynsmail/A 40270-2024 tillsynsbegäran mail.docx", "A 40270-2024")</f>
        <v/>
      </c>
    </row>
    <row r="87" ht="15" customHeight="1">
      <c r="A87" t="inlineStr">
        <is>
          <t>A 13378-2023</t>
        </is>
      </c>
      <c r="B87" s="1" t="n">
        <v>45005.50077546296</v>
      </c>
      <c r="C87" s="1" t="n">
        <v>45992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31617-2025</t>
        </is>
      </c>
      <c r="B88" s="1" t="n">
        <v>45833</v>
      </c>
      <c r="C88" s="1" t="n">
        <v>45992</v>
      </c>
      <c r="D88" t="inlineStr">
        <is>
          <t>VÄSTRA GÖTALANDS LÄN</t>
        </is>
      </c>
      <c r="E88" t="inlineStr">
        <is>
          <t>ORUST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25925-2024</t>
        </is>
      </c>
      <c r="B89" s="1" t="n">
        <v>45467.6122337963</v>
      </c>
      <c r="C89" s="1" t="n">
        <v>45992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45992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45992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45992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45992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45992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45992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45992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43228-2024</t>
        </is>
      </c>
      <c r="B97" s="1" t="n">
        <v>45567.8855787037</v>
      </c>
      <c r="C97" s="1" t="n">
        <v>45992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45992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54128-2025</t>
        </is>
      </c>
      <c r="B99" s="1" t="n">
        <v>45964.45993055555</v>
      </c>
      <c r="C99" s="1" t="n">
        <v>45992</v>
      </c>
      <c r="D99" t="inlineStr">
        <is>
          <t>VÄSTRA GÖTALANDS LÄN</t>
        </is>
      </c>
      <c r="E99" t="inlineStr">
        <is>
          <t>ORUST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36722-2025</t>
        </is>
      </c>
      <c r="B100" s="1" t="n">
        <v>45872</v>
      </c>
      <c r="C100" s="1" t="n">
        <v>45992</v>
      </c>
      <c r="D100" t="inlineStr">
        <is>
          <t>VÄSTRA GÖTALANDS LÄN</t>
        </is>
      </c>
      <c r="E100" t="inlineStr">
        <is>
          <t>ORUST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45992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45992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5926-2024</t>
        </is>
      </c>
      <c r="B103" s="1" t="n">
        <v>45336</v>
      </c>
      <c r="C103" s="1" t="n">
        <v>45992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6986-2024</t>
        </is>
      </c>
      <c r="B104" s="1" t="n">
        <v>45343.48984953704</v>
      </c>
      <c r="C104" s="1" t="n">
        <v>45992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50532-2024</t>
        </is>
      </c>
      <c r="B105" s="1" t="n">
        <v>45601.56552083333</v>
      </c>
      <c r="C105" s="1" t="n">
        <v>45992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1288-2025</t>
        </is>
      </c>
      <c r="B106" s="1" t="n">
        <v>45667.50971064815</v>
      </c>
      <c r="C106" s="1" t="n">
        <v>45992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20089-2025</t>
        </is>
      </c>
      <c r="B107" s="1" t="n">
        <v>45771</v>
      </c>
      <c r="C107" s="1" t="n">
        <v>45992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61302-2024</t>
        </is>
      </c>
      <c r="B108" s="1" t="n">
        <v>45645.90855324074</v>
      </c>
      <c r="C108" s="1" t="n">
        <v>45992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45992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45992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47404-2025</t>
        </is>
      </c>
      <c r="B111" s="1" t="n">
        <v>45930.61149305556</v>
      </c>
      <c r="C111" s="1" t="n">
        <v>45992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5714-2024</t>
        </is>
      </c>
      <c r="B112" s="1" t="n">
        <v>45334.87804398148</v>
      </c>
      <c r="C112" s="1" t="n">
        <v>45992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34380-2022</t>
        </is>
      </c>
      <c r="B113" s="1" t="n">
        <v>44792</v>
      </c>
      <c r="C113" s="1" t="n">
        <v>45992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45992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13377-2023</t>
        </is>
      </c>
      <c r="B115" s="1" t="n">
        <v>45005.49668981481</v>
      </c>
      <c r="C115" s="1" t="n">
        <v>45992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46121-2025</t>
        </is>
      </c>
      <c r="B116" s="1" t="n">
        <v>45924</v>
      </c>
      <c r="C116" s="1" t="n">
        <v>45992</v>
      </c>
      <c r="D116" t="inlineStr">
        <is>
          <t>VÄSTRA GÖTALANDS LÄN</t>
        </is>
      </c>
      <c r="E116" t="inlineStr">
        <is>
          <t>ORUST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37130-2024</t>
        </is>
      </c>
      <c r="B117" s="1" t="n">
        <v>45539.57060185185</v>
      </c>
      <c r="C117" s="1" t="n">
        <v>45992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48419-2025</t>
        </is>
      </c>
      <c r="B118" s="1" t="n">
        <v>45934.58502314815</v>
      </c>
      <c r="C118" s="1" t="n">
        <v>45992</v>
      </c>
      <c r="D118" t="inlineStr">
        <is>
          <t>VÄSTRA GÖTALANDS LÄN</t>
        </is>
      </c>
      <c r="E118" t="inlineStr">
        <is>
          <t>ORUST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46119-2025</t>
        </is>
      </c>
      <c r="B119" s="1" t="n">
        <v>45924</v>
      </c>
      <c r="C119" s="1" t="n">
        <v>45992</v>
      </c>
      <c r="D119" t="inlineStr">
        <is>
          <t>VÄSTRA GÖTALANDS LÄN</t>
        </is>
      </c>
      <c r="E119" t="inlineStr">
        <is>
          <t>ORUST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49072-2025</t>
        </is>
      </c>
      <c r="B120" s="1" t="n">
        <v>45937.65501157408</v>
      </c>
      <c r="C120" s="1" t="n">
        <v>45992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59915-2024</t>
        </is>
      </c>
      <c r="B121" s="1" t="n">
        <v>45641.74975694445</v>
      </c>
      <c r="C121" s="1" t="n">
        <v>45992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5152-2025</t>
        </is>
      </c>
      <c r="B122" s="1" t="n">
        <v>45691.6000462963</v>
      </c>
      <c r="C122" s="1" t="n">
        <v>45992</v>
      </c>
      <c r="D122" t="inlineStr">
        <is>
          <t>VÄSTRA GÖTALANDS LÄN</t>
        </is>
      </c>
      <c r="E122" t="inlineStr">
        <is>
          <t>ORUST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49365-2025</t>
        </is>
      </c>
      <c r="B123" s="1" t="n">
        <v>45938.62341435185</v>
      </c>
      <c r="C123" s="1" t="n">
        <v>45992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42712-2023</t>
        </is>
      </c>
      <c r="B124" s="1" t="n">
        <v>45181.61869212963</v>
      </c>
      <c r="C124" s="1" t="n">
        <v>45992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45992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20131-2025</t>
        </is>
      </c>
      <c r="B126" s="1" t="n">
        <v>45772.50918981482</v>
      </c>
      <c r="C126" s="1" t="n">
        <v>45992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5454-2025</t>
        </is>
      </c>
      <c r="B127" s="1" t="n">
        <v>45692.98011574074</v>
      </c>
      <c r="C127" s="1" t="n">
        <v>45992</v>
      </c>
      <c r="D127" t="inlineStr">
        <is>
          <t>VÄSTRA GÖTALANDS LÄN</t>
        </is>
      </c>
      <c r="E127" t="inlineStr">
        <is>
          <t>ORUST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45992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45992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58853-2025</t>
        </is>
      </c>
      <c r="B130" s="1" t="n">
        <v>45987.40476851852</v>
      </c>
      <c r="C130" s="1" t="n">
        <v>45992</v>
      </c>
      <c r="D130" t="inlineStr">
        <is>
          <t>VÄSTRA GÖTALANDS LÄN</t>
        </is>
      </c>
      <c r="E130" t="inlineStr">
        <is>
          <t>ORUST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40722-2024</t>
        </is>
      </c>
      <c r="B131" s="1" t="n">
        <v>45558.44460648148</v>
      </c>
      <c r="C131" s="1" t="n">
        <v>45992</v>
      </c>
      <c r="D131" t="inlineStr">
        <is>
          <t>VÄSTRA GÖTALANDS LÄN</t>
        </is>
      </c>
      <c r="E131" t="inlineStr">
        <is>
          <t>ORUST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36404-2024</t>
        </is>
      </c>
      <c r="B132" s="1" t="n">
        <v>45535.70535879629</v>
      </c>
      <c r="C132" s="1" t="n">
        <v>45992</v>
      </c>
      <c r="D132" t="inlineStr">
        <is>
          <t>VÄSTRA GÖTALANDS LÄN</t>
        </is>
      </c>
      <c r="E132" t="inlineStr">
        <is>
          <t>ORUST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57445-2024</t>
        </is>
      </c>
      <c r="B133" s="1" t="n">
        <v>45629.92240740741</v>
      </c>
      <c r="C133" s="1" t="n">
        <v>45992</v>
      </c>
      <c r="D133" t="inlineStr">
        <is>
          <t>VÄSTRA GÖTALANDS LÄN</t>
        </is>
      </c>
      <c r="E133" t="inlineStr">
        <is>
          <t>ORUST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45992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45992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40743-2024</t>
        </is>
      </c>
      <c r="B136" s="1" t="n">
        <v>45558.45</v>
      </c>
      <c r="C136" s="1" t="n">
        <v>45992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45992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771-2023</t>
        </is>
      </c>
      <c r="B138" s="1" t="n">
        <v>44931</v>
      </c>
      <c r="C138" s="1" t="n">
        <v>45992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20819-2023</t>
        </is>
      </c>
      <c r="B139" s="1" t="n">
        <v>45058</v>
      </c>
      <c r="C139" s="1" t="n">
        <v>45992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11356-2025</t>
        </is>
      </c>
      <c r="B140" s="1" t="n">
        <v>45726.52880787037</v>
      </c>
      <c r="C140" s="1" t="n">
        <v>45992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45992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45992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6485-2024</t>
        </is>
      </c>
      <c r="B143" s="1" t="n">
        <v>45339.40619212963</v>
      </c>
      <c r="C143" s="1" t="n">
        <v>45992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45992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49617-2023</t>
        </is>
      </c>
      <c r="B145" s="1" t="n">
        <v>45211</v>
      </c>
      <c r="C145" s="1" t="n">
        <v>45992</v>
      </c>
      <c r="D145" t="inlineStr">
        <is>
          <t>VÄSTRA GÖTALANDS LÄN</t>
        </is>
      </c>
      <c r="E145" t="inlineStr">
        <is>
          <t>ORUST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23682-2024</t>
        </is>
      </c>
      <c r="B146" s="1" t="n">
        <v>45454.62754629629</v>
      </c>
      <c r="C146" s="1" t="n">
        <v>45992</v>
      </c>
      <c r="D146" t="inlineStr">
        <is>
          <t>VÄSTRA GÖTALANDS LÄN</t>
        </is>
      </c>
      <c r="E146" t="inlineStr">
        <is>
          <t>ORUST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39206-2024</t>
        </is>
      </c>
      <c r="B147" s="1" t="n">
        <v>45548.81200231481</v>
      </c>
      <c r="C147" s="1" t="n">
        <v>45992</v>
      </c>
      <c r="D147" t="inlineStr">
        <is>
          <t>VÄSTRA GÖTALANDS LÄN</t>
        </is>
      </c>
      <c r="E147" t="inlineStr">
        <is>
          <t>ORUST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45992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5617-2024</t>
        </is>
      </c>
      <c r="B149" s="1" t="n">
        <v>45334.58319444444</v>
      </c>
      <c r="C149" s="1" t="n">
        <v>45992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5617-2024 karta knärot.png", "A 5617-2024")</f>
        <v/>
      </c>
      <c r="V149">
        <f>HYPERLINK("https://klasma.github.io/Logging_1421/klagomål/A 5617-2024 FSC-klagomål.docx", "A 5617-2024")</f>
        <v/>
      </c>
      <c r="W149">
        <f>HYPERLINK("https://klasma.github.io/Logging_1421/klagomålsmail/A 5617-2024 FSC-klagomål mail.docx", "A 5617-2024")</f>
        <v/>
      </c>
      <c r="X149">
        <f>HYPERLINK("https://klasma.github.io/Logging_1421/tillsyn/A 5617-2024 tillsynsbegäran.docx", "A 5617-2024")</f>
        <v/>
      </c>
      <c r="Y149">
        <f>HYPERLINK("https://klasma.github.io/Logging_1421/tillsynsmail/A 5617-2024 tillsynsbegäran mail.docx", "A 5617-2024")</f>
        <v/>
      </c>
    </row>
    <row r="150" ht="15" customHeight="1">
      <c r="A150" t="inlineStr">
        <is>
          <t>A 34056-2024</t>
        </is>
      </c>
      <c r="B150" s="1" t="n">
        <v>45523.6125</v>
      </c>
      <c r="C150" s="1" t="n">
        <v>45992</v>
      </c>
      <c r="D150" t="inlineStr">
        <is>
          <t>VÄSTRA GÖTALANDS LÄN</t>
        </is>
      </c>
      <c r="E150" t="inlineStr">
        <is>
          <t>ORUST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6613-2021</t>
        </is>
      </c>
      <c r="B151" s="1" t="n">
        <v>44236</v>
      </c>
      <c r="C151" s="1" t="n">
        <v>45992</v>
      </c>
      <c r="D151" t="inlineStr">
        <is>
          <t>VÄSTRA GÖTALANDS LÄN</t>
        </is>
      </c>
      <c r="E151" t="inlineStr">
        <is>
          <t>ORUST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45992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45992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45992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45992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45992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45992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45992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45992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45992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45992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45992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45992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45992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45992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45992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45992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45992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45992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45992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45992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45992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45992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45992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45992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45992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45992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45992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13536-2025</t>
        </is>
      </c>
      <c r="B179" s="1" t="n">
        <v>45736.51413194444</v>
      </c>
      <c r="C179" s="1" t="n">
        <v>45992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2025-12-01T10:28:08Z</dcterms:created>
  <dcterms:modified xmlns:dcterms="http://purl.org/dc/terms/" xmlns:xsi="http://www.w3.org/2001/XMLSchema-instance" xsi:type="dcterms:W3CDTF">2025-12-01T10:28:08Z</dcterms:modified>
</cp:coreProperties>
</file>