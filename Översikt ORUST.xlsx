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45585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45585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45585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45585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45585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45585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45585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45585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72588-2021</t>
        </is>
      </c>
      <c r="B10" s="1" t="n">
        <v>44546</v>
      </c>
      <c r="C10" s="1" t="n">
        <v>45585</v>
      </c>
      <c r="D10" t="inlineStr">
        <is>
          <t>VÄSTRA GÖTALANDS LÄN</t>
        </is>
      </c>
      <c r="E10" t="inlineStr">
        <is>
          <t>ORUST</t>
        </is>
      </c>
      <c r="G10" t="n">
        <v>21.8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Spillkråka
Kambräken</t>
        </is>
      </c>
      <c r="S10">
        <f>HYPERLINK("https://klasma.github.io/Logging_1421/artfynd/A 72588-2021 artfynd.xlsx", "A 72588-2021")</f>
        <v/>
      </c>
      <c r="T10">
        <f>HYPERLINK("https://klasma.github.io/Logging_1421/kartor/A 72588-2021 karta.png", "A 72588-2021")</f>
        <v/>
      </c>
      <c r="U10">
        <f>HYPERLINK("https://klasma.github.io/Logging_1421/knärot/A 72588-2021 karta knärot.png", "A 72588-2021")</f>
        <v/>
      </c>
      <c r="V10">
        <f>HYPERLINK("https://klasma.github.io/Logging_1421/klagomål/A 72588-2021 FSC-klagomål.docx", "A 72588-2021")</f>
        <v/>
      </c>
      <c r="W10">
        <f>HYPERLINK("https://klasma.github.io/Logging_1421/klagomålsmail/A 72588-2021 FSC-klagomål mail.docx", "A 72588-2021")</f>
        <v/>
      </c>
      <c r="X10">
        <f>HYPERLINK("https://klasma.github.io/Logging_1421/tillsyn/A 72588-2021 tillsynsbegäran.docx", "A 72588-2021")</f>
        <v/>
      </c>
      <c r="Y10">
        <f>HYPERLINK("https://klasma.github.io/Logging_1421/tillsynsmail/A 72588-2021 tillsynsbegäran mail.docx", "A 72588-2021")</f>
        <v/>
      </c>
      <c r="Z10">
        <f>HYPERLINK("https://klasma.github.io/Logging_1421/fåglar/A 72588-2021 prioriterade fågelarter.docx", "A 72588-2021")</f>
        <v/>
      </c>
    </row>
    <row r="11" ht="15" customHeight="1">
      <c r="A11" t="inlineStr">
        <is>
          <t>A 14805-2023</t>
        </is>
      </c>
      <c r="B11" s="1" t="n">
        <v>45014</v>
      </c>
      <c r="C11" s="1" t="n">
        <v>45585</v>
      </c>
      <c r="D11" t="inlineStr">
        <is>
          <t>VÄSTRA GÖTALANDS LÄN</t>
        </is>
      </c>
      <c r="E11" t="inlineStr">
        <is>
          <t>ORUST</t>
        </is>
      </c>
      <c r="G11" t="n">
        <v>3.2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Grönsångare
Purpurmylia</t>
        </is>
      </c>
      <c r="S11">
        <f>HYPERLINK("https://klasma.github.io/Logging_1421/artfynd/A 14805-2023 artfynd.xlsx", "A 14805-2023")</f>
        <v/>
      </c>
      <c r="T11">
        <f>HYPERLINK("https://klasma.github.io/Logging_1421/kartor/A 14805-2023 karta.png", "A 14805-2023")</f>
        <v/>
      </c>
      <c r="U11">
        <f>HYPERLINK("https://klasma.github.io/Logging_1421/knärot/A 14805-2023 karta knärot.png", "A 14805-2023")</f>
        <v/>
      </c>
      <c r="V11">
        <f>HYPERLINK("https://klasma.github.io/Logging_1421/klagomål/A 14805-2023 FSC-klagomål.docx", "A 14805-2023")</f>
        <v/>
      </c>
      <c r="W11">
        <f>HYPERLINK("https://klasma.github.io/Logging_1421/klagomålsmail/A 14805-2023 FSC-klagomål mail.docx", "A 14805-2023")</f>
        <v/>
      </c>
      <c r="X11">
        <f>HYPERLINK("https://klasma.github.io/Logging_1421/tillsyn/A 14805-2023 tillsynsbegäran.docx", "A 14805-2023")</f>
        <v/>
      </c>
      <c r="Y11">
        <f>HYPERLINK("https://klasma.github.io/Logging_1421/tillsynsmail/A 14805-2023 tillsynsbegäran mail.docx", "A 14805-2023")</f>
        <v/>
      </c>
      <c r="Z11">
        <f>HYPERLINK("https://klasma.github.io/Logging_1421/fåglar/A 14805-2023 prioriterade fågelarter.docx", "A 14805-2023")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45585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45585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6055-2024</t>
        </is>
      </c>
      <c r="B14" s="1" t="n">
        <v>45336</v>
      </c>
      <c r="C14" s="1" t="n">
        <v>45585</v>
      </c>
      <c r="D14" t="inlineStr">
        <is>
          <t>VÄSTRA GÖTALANDS LÄN</t>
        </is>
      </c>
      <c r="E14" t="inlineStr">
        <is>
          <t>ORUST</t>
        </is>
      </c>
      <c r="G14" t="n">
        <v>24.1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HYPERLINK("https://klasma.github.io/Logging_1421/artfynd/A 6055-2024 artfynd.xlsx", "A 6055-2024")</f>
        <v/>
      </c>
      <c r="T14">
        <f>HYPERLINK("https://klasma.github.io/Logging_1421/kartor/A 6055-2024 karta.png", "A 6055-2024")</f>
        <v/>
      </c>
      <c r="V14">
        <f>HYPERLINK("https://klasma.github.io/Logging_1421/klagomål/A 6055-2024 FSC-klagomål.docx", "A 6055-2024")</f>
        <v/>
      </c>
      <c r="W14">
        <f>HYPERLINK("https://klasma.github.io/Logging_1421/klagomålsmail/A 6055-2024 FSC-klagomål mail.docx", "A 6055-2024")</f>
        <v/>
      </c>
      <c r="X14">
        <f>HYPERLINK("https://klasma.github.io/Logging_1421/tillsyn/A 6055-2024 tillsynsbegäran.docx", "A 6055-2024")</f>
        <v/>
      </c>
      <c r="Y14">
        <f>HYPERLINK("https://klasma.github.io/Logging_1421/tillsynsmail/A 6055-2024 tillsynsbegäran mail.docx", "A 6055-2024")</f>
        <v/>
      </c>
    </row>
    <row r="15" ht="15" customHeight="1">
      <c r="A15" t="inlineStr">
        <is>
          <t>A 6484-2024</t>
        </is>
      </c>
      <c r="B15" s="1" t="n">
        <v>45339</v>
      </c>
      <c r="C15" s="1" t="n">
        <v>45585</v>
      </c>
      <c r="D15" t="inlineStr">
        <is>
          <t>VÄSTRA GÖTALANDS LÄN</t>
        </is>
      </c>
      <c r="E15" t="inlineStr">
        <is>
          <t>ORUST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Brandticka
Dvärghäxört</t>
        </is>
      </c>
      <c r="S15">
        <f>HYPERLINK("https://klasma.github.io/Logging_1421/artfynd/A 6484-2024 artfynd.xlsx", "A 6484-2024")</f>
        <v/>
      </c>
      <c r="T15">
        <f>HYPERLINK("https://klasma.github.io/Logging_1421/kartor/A 6484-2024 karta.png", "A 6484-2024")</f>
        <v/>
      </c>
      <c r="V15">
        <f>HYPERLINK("https://klasma.github.io/Logging_1421/klagomål/A 6484-2024 FSC-klagomål.docx", "A 6484-2024")</f>
        <v/>
      </c>
      <c r="W15">
        <f>HYPERLINK("https://klasma.github.io/Logging_1421/klagomålsmail/A 6484-2024 FSC-klagomål mail.docx", "A 6484-2024")</f>
        <v/>
      </c>
      <c r="X15">
        <f>HYPERLINK("https://klasma.github.io/Logging_1421/tillsyn/A 6484-2024 tillsynsbegäran.docx", "A 6484-2024")</f>
        <v/>
      </c>
      <c r="Y15">
        <f>HYPERLINK("https://klasma.github.io/Logging_1421/tillsynsmail/A 6484-2024 tillsynsbegäran mail.docx", "A 6484-2024")</f>
        <v/>
      </c>
    </row>
    <row r="16" ht="15" customHeight="1">
      <c r="A16" t="inlineStr">
        <is>
          <t>A 28006-2019</t>
        </is>
      </c>
      <c r="B16" s="1" t="n">
        <v>43621</v>
      </c>
      <c r="C16" s="1" t="n">
        <v>45585</v>
      </c>
      <c r="D16" t="inlineStr">
        <is>
          <t>VÄSTRA GÖTALANDS LÄN</t>
        </is>
      </c>
      <c r="E16" t="inlineStr">
        <is>
          <t>ORUST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HYPERLINK("https://klasma.github.io/Logging_1421/artfynd/A 28006-2019 artfynd.xlsx", "A 28006-2019")</f>
        <v/>
      </c>
      <c r="T16">
        <f>HYPERLINK("https://klasma.github.io/Logging_1421/kartor/A 28006-2019 karta.png", "A 28006-2019")</f>
        <v/>
      </c>
      <c r="V16">
        <f>HYPERLINK("https://klasma.github.io/Logging_1421/klagomål/A 28006-2019 FSC-klagomål.docx", "A 28006-2019")</f>
        <v/>
      </c>
      <c r="W16">
        <f>HYPERLINK("https://klasma.github.io/Logging_1421/klagomålsmail/A 28006-2019 FSC-klagomål mail.docx", "A 28006-2019")</f>
        <v/>
      </c>
      <c r="X16">
        <f>HYPERLINK("https://klasma.github.io/Logging_1421/tillsyn/A 28006-2019 tillsynsbegäran.docx", "A 28006-2019")</f>
        <v/>
      </c>
      <c r="Y16">
        <f>HYPERLINK("https://klasma.github.io/Logging_1421/tillsynsmail/A 28006-2019 tillsynsbegäran mail.docx", "A 28006-2019")</f>
        <v/>
      </c>
    </row>
    <row r="17" ht="15" customHeight="1">
      <c r="A17" t="inlineStr">
        <is>
          <t>A 28010-2019</t>
        </is>
      </c>
      <c r="B17" s="1" t="n">
        <v>43621</v>
      </c>
      <c r="C17" s="1" t="n">
        <v>45585</v>
      </c>
      <c r="D17" t="inlineStr">
        <is>
          <t>VÄSTRA GÖTALANDS LÄN</t>
        </is>
      </c>
      <c r="E17" t="inlineStr">
        <is>
          <t>ORUST</t>
        </is>
      </c>
      <c r="G17" t="n">
        <v>13.4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HYPERLINK("https://klasma.github.io/Logging_1421/artfynd/A 28010-2019 artfynd.xlsx", "A 28010-2019")</f>
        <v/>
      </c>
      <c r="T17">
        <f>HYPERLINK("https://klasma.github.io/Logging_1421/kartor/A 28010-2019 karta.png", "A 28010-2019")</f>
        <v/>
      </c>
      <c r="V17">
        <f>HYPERLINK("https://klasma.github.io/Logging_1421/klagomål/A 28010-2019 FSC-klagomål.docx", "A 28010-2019")</f>
        <v/>
      </c>
      <c r="W17">
        <f>HYPERLINK("https://klasma.github.io/Logging_1421/klagomålsmail/A 28010-2019 FSC-klagomål mail.docx", "A 28010-2019")</f>
        <v/>
      </c>
      <c r="X17">
        <f>HYPERLINK("https://klasma.github.io/Logging_1421/tillsyn/A 28010-2019 tillsynsbegäran.docx", "A 28010-2019")</f>
        <v/>
      </c>
      <c r="Y17">
        <f>HYPERLINK("https://klasma.github.io/Logging_1421/tillsynsmail/A 28010-2019 tillsynsbegäran mail.docx", "A 28010-2019")</f>
        <v/>
      </c>
    </row>
    <row r="18" ht="15" customHeight="1">
      <c r="A18" t="inlineStr">
        <is>
          <t>A 997-2020</t>
        </is>
      </c>
      <c r="B18" s="1" t="n">
        <v>43819</v>
      </c>
      <c r="C18" s="1" t="n">
        <v>45585</v>
      </c>
      <c r="D18" t="inlineStr">
        <is>
          <t>VÄSTRA GÖTALANDS LÄN</t>
        </is>
      </c>
      <c r="E18" t="inlineStr">
        <is>
          <t>ORUST</t>
        </is>
      </c>
      <c r="G18" t="n">
        <v>14.6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997-2020 artfynd.xlsx", "A 997-2020")</f>
        <v/>
      </c>
      <c r="T18">
        <f>HYPERLINK("https://klasma.github.io/Logging_1421/kartor/A 997-2020 karta.png", "A 997-2020")</f>
        <v/>
      </c>
      <c r="U18">
        <f>HYPERLINK("https://klasma.github.io/Logging_1421/knärot/A 997-2020 karta knärot.png", "A 997-2020")</f>
        <v/>
      </c>
      <c r="V18">
        <f>HYPERLINK("https://klasma.github.io/Logging_1421/klagomål/A 997-2020 FSC-klagomål.docx", "A 997-2020")</f>
        <v/>
      </c>
      <c r="W18">
        <f>HYPERLINK("https://klasma.github.io/Logging_1421/klagomålsmail/A 997-2020 FSC-klagomål mail.docx", "A 997-2020")</f>
        <v/>
      </c>
      <c r="X18">
        <f>HYPERLINK("https://klasma.github.io/Logging_1421/tillsyn/A 997-2020 tillsynsbegäran.docx", "A 997-2020")</f>
        <v/>
      </c>
      <c r="Y18">
        <f>HYPERLINK("https://klasma.github.io/Logging_1421/tillsynsmail/A 997-2020 tillsynsbegäran mail.docx", "A 997-2020")</f>
        <v/>
      </c>
    </row>
    <row r="19" ht="15" customHeight="1">
      <c r="A19" t="inlineStr">
        <is>
          <t>A 4522-2020</t>
        </is>
      </c>
      <c r="B19" s="1" t="n">
        <v>43858</v>
      </c>
      <c r="C19" s="1" t="n">
        <v>45585</v>
      </c>
      <c r="D19" t="inlineStr">
        <is>
          <t>VÄSTRA GÖTALANDS LÄN</t>
        </is>
      </c>
      <c r="E19" t="inlineStr">
        <is>
          <t>ORUST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HYPERLINK("https://klasma.github.io/Logging_1421/artfynd/A 4522-2020 artfynd.xlsx", "A 4522-2020")</f>
        <v/>
      </c>
      <c r="T19">
        <f>HYPERLINK("https://klasma.github.io/Logging_1421/kartor/A 4522-2020 karta.png", "A 4522-2020")</f>
        <v/>
      </c>
      <c r="V19">
        <f>HYPERLINK("https://klasma.github.io/Logging_1421/klagomål/A 4522-2020 FSC-klagomål.docx", "A 4522-2020")</f>
        <v/>
      </c>
      <c r="W19">
        <f>HYPERLINK("https://klasma.github.io/Logging_1421/klagomålsmail/A 4522-2020 FSC-klagomål mail.docx", "A 4522-2020")</f>
        <v/>
      </c>
      <c r="X19">
        <f>HYPERLINK("https://klasma.github.io/Logging_1421/tillsyn/A 4522-2020 tillsynsbegäran.docx", "A 4522-2020")</f>
        <v/>
      </c>
      <c r="Y19">
        <f>HYPERLINK("https://klasma.github.io/Logging_1421/tillsynsmail/A 4522-2020 tillsynsbegäran mail.docx", "A 4522-2020")</f>
        <v/>
      </c>
    </row>
    <row r="20" ht="15" customHeight="1">
      <c r="A20" t="inlineStr">
        <is>
          <t>A 4535-2020</t>
        </is>
      </c>
      <c r="B20" s="1" t="n">
        <v>43858</v>
      </c>
      <c r="C20" s="1" t="n">
        <v>45585</v>
      </c>
      <c r="D20" t="inlineStr">
        <is>
          <t>VÄSTRA GÖTALANDS LÄN</t>
        </is>
      </c>
      <c r="E20" t="inlineStr">
        <is>
          <t>ORUST</t>
        </is>
      </c>
      <c r="F20" t="inlineStr">
        <is>
          <t>Kommuner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4535-2020 artfynd.xlsx", "A 4535-2020")</f>
        <v/>
      </c>
      <c r="T20">
        <f>HYPERLINK("https://klasma.github.io/Logging_1421/kartor/A 4535-2020 karta.png", "A 4535-2020")</f>
        <v/>
      </c>
      <c r="U20">
        <f>HYPERLINK("https://klasma.github.io/Logging_1421/knärot/A 4535-2020 karta knärot.png", "A 4535-2020")</f>
        <v/>
      </c>
      <c r="V20">
        <f>HYPERLINK("https://klasma.github.io/Logging_1421/klagomål/A 4535-2020 FSC-klagomål.docx", "A 4535-2020")</f>
        <v/>
      </c>
      <c r="W20">
        <f>HYPERLINK("https://klasma.github.io/Logging_1421/klagomålsmail/A 4535-2020 FSC-klagomål mail.docx", "A 4535-2020")</f>
        <v/>
      </c>
      <c r="X20">
        <f>HYPERLINK("https://klasma.github.io/Logging_1421/tillsyn/A 4535-2020 tillsynsbegäran.docx", "A 4535-2020")</f>
        <v/>
      </c>
      <c r="Y20">
        <f>HYPERLINK("https://klasma.github.io/Logging_1421/tillsynsmail/A 4535-2020 tillsynsbegäran mail.docx", "A 4535-2020")</f>
        <v/>
      </c>
    </row>
    <row r="21" ht="15" customHeight="1">
      <c r="A21" t="inlineStr">
        <is>
          <t>A 37428-2022</t>
        </is>
      </c>
      <c r="B21" s="1" t="n">
        <v>44809</v>
      </c>
      <c r="C21" s="1" t="n">
        <v>45585</v>
      </c>
      <c r="D21" t="inlineStr">
        <is>
          <t>VÄSTRA GÖTALANDS LÄN</t>
        </is>
      </c>
      <c r="E21" t="inlineStr">
        <is>
          <t>ORUST</t>
        </is>
      </c>
      <c r="G21" t="n">
        <v>5.4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37428-2022 artfynd.xlsx", "A 37428-2022")</f>
        <v/>
      </c>
      <c r="T21">
        <f>HYPERLINK("https://klasma.github.io/Logging_1421/kartor/A 37428-2022 karta.png", "A 37428-2022")</f>
        <v/>
      </c>
      <c r="U21">
        <f>HYPERLINK("https://klasma.github.io/Logging_1421/knärot/A 37428-2022 karta knärot.png", "A 37428-2022")</f>
        <v/>
      </c>
      <c r="V21">
        <f>HYPERLINK("https://klasma.github.io/Logging_1421/klagomål/A 37428-2022 FSC-klagomål.docx", "A 37428-2022")</f>
        <v/>
      </c>
      <c r="W21">
        <f>HYPERLINK("https://klasma.github.io/Logging_1421/klagomålsmail/A 37428-2022 FSC-klagomål mail.docx", "A 37428-2022")</f>
        <v/>
      </c>
      <c r="X21">
        <f>HYPERLINK("https://klasma.github.io/Logging_1421/tillsyn/A 37428-2022 tillsynsbegäran.docx", "A 37428-2022")</f>
        <v/>
      </c>
      <c r="Y21">
        <f>HYPERLINK("https://klasma.github.io/Logging_1421/tillsynsmail/A 37428-2022 tillsynsbegäran mail.docx", "A 37428-2022")</f>
        <v/>
      </c>
    </row>
    <row r="22" ht="15" customHeight="1">
      <c r="A22" t="inlineStr">
        <is>
          <t>A 14788-2023</t>
        </is>
      </c>
      <c r="B22" s="1" t="n">
        <v>45014</v>
      </c>
      <c r="C22" s="1" t="n">
        <v>45585</v>
      </c>
      <c r="D22" t="inlineStr">
        <is>
          <t>VÄSTRA GÖTALANDS LÄN</t>
        </is>
      </c>
      <c r="E22" t="inlineStr">
        <is>
          <t>ORUST</t>
        </is>
      </c>
      <c r="G22" t="n">
        <v>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14788-2023 artfynd.xlsx", "A 14788-2023")</f>
        <v/>
      </c>
      <c r="T22">
        <f>HYPERLINK("https://klasma.github.io/Logging_1421/kartor/A 14788-2023 karta.png", "A 14788-2023")</f>
        <v/>
      </c>
      <c r="U22">
        <f>HYPERLINK("https://klasma.github.io/Logging_1421/knärot/A 14788-2023 karta knärot.png", "A 14788-2023")</f>
        <v/>
      </c>
      <c r="V22">
        <f>HYPERLINK("https://klasma.github.io/Logging_1421/klagomål/A 14788-2023 FSC-klagomål.docx", "A 14788-2023")</f>
        <v/>
      </c>
      <c r="W22">
        <f>HYPERLINK("https://klasma.github.io/Logging_1421/klagomålsmail/A 14788-2023 FSC-klagomål mail.docx", "A 14788-2023")</f>
        <v/>
      </c>
      <c r="X22">
        <f>HYPERLINK("https://klasma.github.io/Logging_1421/tillsyn/A 14788-2023 tillsynsbegäran.docx", "A 14788-2023")</f>
        <v/>
      </c>
      <c r="Y22">
        <f>HYPERLINK("https://klasma.github.io/Logging_1421/tillsynsmail/A 14788-2023 tillsynsbegäran mail.docx", "A 14788-2023")</f>
        <v/>
      </c>
    </row>
    <row r="23" ht="15" customHeight="1">
      <c r="A23" t="inlineStr">
        <is>
          <t>A 20086-2023</t>
        </is>
      </c>
      <c r="B23" s="1" t="n">
        <v>45054</v>
      </c>
      <c r="C23" s="1" t="n">
        <v>45585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20086-2023 artfynd.xlsx", "A 20086-2023")</f>
        <v/>
      </c>
      <c r="T23">
        <f>HYPERLINK("https://klasma.github.io/Logging_1421/kartor/A 20086-2023 karta.png", "A 20086-2023")</f>
        <v/>
      </c>
      <c r="U23">
        <f>HYPERLINK("https://klasma.github.io/Logging_1421/knärot/A 20086-2023 karta knärot.png", "A 20086-2023")</f>
        <v/>
      </c>
      <c r="V23">
        <f>HYPERLINK("https://klasma.github.io/Logging_1421/klagomål/A 20086-2023 FSC-klagomål.docx", "A 20086-2023")</f>
        <v/>
      </c>
      <c r="W23">
        <f>HYPERLINK("https://klasma.github.io/Logging_1421/klagomålsmail/A 20086-2023 FSC-klagomål mail.docx", "A 20086-2023")</f>
        <v/>
      </c>
      <c r="X23">
        <f>HYPERLINK("https://klasma.github.io/Logging_1421/tillsyn/A 20086-2023 tillsynsbegäran.docx", "A 20086-2023")</f>
        <v/>
      </c>
      <c r="Y23">
        <f>HYPERLINK("https://klasma.github.io/Logging_1421/tillsynsmail/A 20086-2023 tillsynsbegäran mail.docx", "A 20086-2023")</f>
        <v/>
      </c>
    </row>
    <row r="24" ht="15" customHeight="1">
      <c r="A24" t="inlineStr">
        <is>
          <t>A 20709-2023</t>
        </is>
      </c>
      <c r="B24" s="1" t="n">
        <v>45058</v>
      </c>
      <c r="C24" s="1" t="n">
        <v>45585</v>
      </c>
      <c r="D24" t="inlineStr">
        <is>
          <t>VÄSTRA GÖTALANDS LÄN</t>
        </is>
      </c>
      <c r="E24" t="inlineStr">
        <is>
          <t>ORUST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20709-2023 artfynd.xlsx", "A 20709-2023")</f>
        <v/>
      </c>
      <c r="T24">
        <f>HYPERLINK("https://klasma.github.io/Logging_1421/kartor/A 20709-2023 karta.png", "A 20709-2023")</f>
        <v/>
      </c>
      <c r="U24">
        <f>HYPERLINK("https://klasma.github.io/Logging_1421/knärot/A 20709-2023 karta knärot.png", "A 20709-2023")</f>
        <v/>
      </c>
      <c r="V24">
        <f>HYPERLINK("https://klasma.github.io/Logging_1421/klagomål/A 20709-2023 FSC-klagomål.docx", "A 20709-2023")</f>
        <v/>
      </c>
      <c r="W24">
        <f>HYPERLINK("https://klasma.github.io/Logging_1421/klagomålsmail/A 20709-2023 FSC-klagomål mail.docx", "A 20709-2023")</f>
        <v/>
      </c>
      <c r="X24">
        <f>HYPERLINK("https://klasma.github.io/Logging_1421/tillsyn/A 20709-2023 tillsynsbegäran.docx", "A 20709-2023")</f>
        <v/>
      </c>
      <c r="Y24">
        <f>HYPERLINK("https://klasma.github.io/Logging_1421/tillsynsmail/A 20709-2023 tillsynsbegäran mail.docx", "A 20709-2023")</f>
        <v/>
      </c>
    </row>
    <row r="25" ht="15" customHeight="1">
      <c r="A25" t="inlineStr">
        <is>
          <t>A 13220-2024</t>
        </is>
      </c>
      <c r="B25" s="1" t="n">
        <v>45386</v>
      </c>
      <c r="C25" s="1" t="n">
        <v>45585</v>
      </c>
      <c r="D25" t="inlineStr">
        <is>
          <t>VÄSTRA GÖTALANDS LÄN</t>
        </is>
      </c>
      <c r="E25" t="inlineStr">
        <is>
          <t>ORUST</t>
        </is>
      </c>
      <c r="G25" t="n">
        <v>3.3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13220-2024 artfynd.xlsx", "A 13220-2024")</f>
        <v/>
      </c>
      <c r="T25">
        <f>HYPERLINK("https://klasma.github.io/Logging_1421/kartor/A 13220-2024 karta.png", "A 13220-2024")</f>
        <v/>
      </c>
      <c r="U25">
        <f>HYPERLINK("https://klasma.github.io/Logging_1421/knärot/A 13220-2024 karta knärot.png", "A 13220-2024")</f>
        <v/>
      </c>
      <c r="V25">
        <f>HYPERLINK("https://klasma.github.io/Logging_1421/klagomål/A 13220-2024 FSC-klagomål.docx", "A 13220-2024")</f>
        <v/>
      </c>
      <c r="W25">
        <f>HYPERLINK("https://klasma.github.io/Logging_1421/klagomålsmail/A 13220-2024 FSC-klagomål mail.docx", "A 13220-2024")</f>
        <v/>
      </c>
      <c r="X25">
        <f>HYPERLINK("https://klasma.github.io/Logging_1421/tillsyn/A 13220-2024 tillsynsbegäran.docx", "A 13220-2024")</f>
        <v/>
      </c>
      <c r="Y25">
        <f>HYPERLINK("https://klasma.github.io/Logging_1421/tillsynsmail/A 13220-2024 tillsynsbegäran mail.docx", "A 13220-2024")</f>
        <v/>
      </c>
    </row>
    <row r="26" ht="15" customHeight="1">
      <c r="A26" t="inlineStr">
        <is>
          <t>A 24618-2024</t>
        </is>
      </c>
      <c r="B26" s="1" t="n">
        <v>45460</v>
      </c>
      <c r="C26" s="1" t="n">
        <v>45585</v>
      </c>
      <c r="D26" t="inlineStr">
        <is>
          <t>VÄSTRA GÖTALANDS LÄN</t>
        </is>
      </c>
      <c r="E26" t="inlineStr">
        <is>
          <t>ORUST</t>
        </is>
      </c>
      <c r="G26" t="n">
        <v>9.5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HYPERLINK("https://klasma.github.io/Logging_1421/artfynd/A 24618-2024 artfynd.xlsx", "A 24618-2024")</f>
        <v/>
      </c>
      <c r="T26">
        <f>HYPERLINK("https://klasma.github.io/Logging_1421/kartor/A 24618-2024 karta.png", "A 24618-2024")</f>
        <v/>
      </c>
      <c r="V26">
        <f>HYPERLINK("https://klasma.github.io/Logging_1421/klagomål/A 24618-2024 FSC-klagomål.docx", "A 24618-2024")</f>
        <v/>
      </c>
      <c r="W26">
        <f>HYPERLINK("https://klasma.github.io/Logging_1421/klagomålsmail/A 24618-2024 FSC-klagomål mail.docx", "A 24618-2024")</f>
        <v/>
      </c>
      <c r="X26">
        <f>HYPERLINK("https://klasma.github.io/Logging_1421/tillsyn/A 24618-2024 tillsynsbegäran.docx", "A 24618-2024")</f>
        <v/>
      </c>
      <c r="Y26">
        <f>HYPERLINK("https://klasma.github.io/Logging_1421/tillsynsmail/A 24618-2024 tillsynsbegäran mail.docx", "A 24618-2024")</f>
        <v/>
      </c>
    </row>
    <row r="27" ht="15" customHeight="1">
      <c r="A27" t="inlineStr">
        <is>
          <t>A 19796-2019</t>
        </is>
      </c>
      <c r="B27" s="1" t="n">
        <v>43567</v>
      </c>
      <c r="C27" s="1" t="n">
        <v>45585</v>
      </c>
      <c r="D27" t="inlineStr">
        <is>
          <t>VÄSTRA GÖTALANDS LÄN</t>
        </is>
      </c>
      <c r="E27" t="inlineStr">
        <is>
          <t>ORUST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25411-2019</t>
        </is>
      </c>
      <c r="B28" s="1" t="n">
        <v>43606</v>
      </c>
      <c r="C28" s="1" t="n">
        <v>45585</v>
      </c>
      <c r="D28" t="inlineStr">
        <is>
          <t>VÄSTRA GÖTALANDS LÄN</t>
        </is>
      </c>
      <c r="E28" t="inlineStr">
        <is>
          <t>ORUST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25422-2019</t>
        </is>
      </c>
      <c r="B29" s="1" t="n">
        <v>43606</v>
      </c>
      <c r="C29" s="1" t="n">
        <v>45585</v>
      </c>
      <c r="D29" t="inlineStr">
        <is>
          <t>VÄSTRA GÖTALANDS LÄN</t>
        </is>
      </c>
      <c r="E29" t="inlineStr">
        <is>
          <t>ORUST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25413-2019</t>
        </is>
      </c>
      <c r="B30" s="1" t="n">
        <v>43606</v>
      </c>
      <c r="C30" s="1" t="n">
        <v>45585</v>
      </c>
      <c r="D30" t="inlineStr">
        <is>
          <t>VÄSTRA GÖTALANDS LÄN</t>
        </is>
      </c>
      <c r="E30" t="inlineStr">
        <is>
          <t>ORUST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25424-2019</t>
        </is>
      </c>
      <c r="B31" s="1" t="n">
        <v>43606</v>
      </c>
      <c r="C31" s="1" t="n">
        <v>45585</v>
      </c>
      <c r="D31" t="inlineStr">
        <is>
          <t>VÄSTRA GÖTALANDS LÄN</t>
        </is>
      </c>
      <c r="E31" t="inlineStr">
        <is>
          <t>ORUST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28008-2019</t>
        </is>
      </c>
      <c r="B32" s="1" t="n">
        <v>43621</v>
      </c>
      <c r="C32" s="1" t="n">
        <v>45585</v>
      </c>
      <c r="D32" t="inlineStr">
        <is>
          <t>VÄSTRA GÖTALANDS LÄN</t>
        </is>
      </c>
      <c r="E32" t="inlineStr">
        <is>
          <t>ORUST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29190-2019</t>
        </is>
      </c>
      <c r="B33" s="1" t="n">
        <v>43621</v>
      </c>
      <c r="C33" s="1" t="n">
        <v>45585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28015-2019</t>
        </is>
      </c>
      <c r="B34" s="1" t="n">
        <v>43621</v>
      </c>
      <c r="C34" s="1" t="n">
        <v>45585</v>
      </c>
      <c r="D34" t="inlineStr">
        <is>
          <t>VÄSTRA GÖTALANDS LÄN</t>
        </is>
      </c>
      <c r="E34" t="inlineStr">
        <is>
          <t>ORUST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29188-2019</t>
        </is>
      </c>
      <c r="B35" s="1" t="n">
        <v>43621</v>
      </c>
      <c r="C35" s="1" t="n">
        <v>45585</v>
      </c>
      <c r="D35" t="inlineStr">
        <is>
          <t>VÄSTRA GÖTALANDS LÄN</t>
        </is>
      </c>
      <c r="E35" t="inlineStr">
        <is>
          <t>ORUST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28011-2019</t>
        </is>
      </c>
      <c r="B36" s="1" t="n">
        <v>43621</v>
      </c>
      <c r="C36" s="1" t="n">
        <v>45585</v>
      </c>
      <c r="D36" t="inlineStr">
        <is>
          <t>VÄSTRA GÖTALANDS LÄN</t>
        </is>
      </c>
      <c r="E36" t="inlineStr">
        <is>
          <t>ORUST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31354-2019</t>
        </is>
      </c>
      <c r="B37" s="1" t="n">
        <v>43636</v>
      </c>
      <c r="C37" s="1" t="n">
        <v>45585</v>
      </c>
      <c r="D37" t="inlineStr">
        <is>
          <t>VÄSTRA GÖTALANDS LÄN</t>
        </is>
      </c>
      <c r="E37" t="inlineStr">
        <is>
          <t>ORUST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31655-2019</t>
        </is>
      </c>
      <c r="B38" s="1" t="n">
        <v>43642</v>
      </c>
      <c r="C38" s="1" t="n">
        <v>45585</v>
      </c>
      <c r="D38" t="inlineStr">
        <is>
          <t>VÄSTRA GÖTALANDS LÄN</t>
        </is>
      </c>
      <c r="E38" t="inlineStr">
        <is>
          <t>ORUST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  <c r="U38">
        <f>HYPERLINK("https://klasma.github.io/Logging_1421/knärot/A 31655-2019 karta knärot.png", "A 31655-2019")</f>
        <v/>
      </c>
      <c r="V38">
        <f>HYPERLINK("https://klasma.github.io/Logging_1421/klagomål/A 31655-2019 FSC-klagomål.docx", "A 31655-2019")</f>
        <v/>
      </c>
      <c r="W38">
        <f>HYPERLINK("https://klasma.github.io/Logging_1421/klagomålsmail/A 31655-2019 FSC-klagomål mail.docx", "A 31655-2019")</f>
        <v/>
      </c>
      <c r="X38">
        <f>HYPERLINK("https://klasma.github.io/Logging_1421/tillsyn/A 31655-2019 tillsynsbegäran.docx", "A 31655-2019")</f>
        <v/>
      </c>
      <c r="Y38">
        <f>HYPERLINK("https://klasma.github.io/Logging_1421/tillsynsmail/A 31655-2019 tillsynsbegäran mail.docx", "A 31655-2019")</f>
        <v/>
      </c>
    </row>
    <row r="39" ht="15" customHeight="1">
      <c r="A39" t="inlineStr">
        <is>
          <t>A 34828-2019</t>
        </is>
      </c>
      <c r="B39" s="1" t="n">
        <v>43649</v>
      </c>
      <c r="C39" s="1" t="n">
        <v>45585</v>
      </c>
      <c r="D39" t="inlineStr">
        <is>
          <t>VÄSTRA GÖTALANDS LÄN</t>
        </is>
      </c>
      <c r="E39" t="inlineStr">
        <is>
          <t>ORUST</t>
        </is>
      </c>
      <c r="G39" t="n">
        <v>10.7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33862-2019</t>
        </is>
      </c>
      <c r="B40" s="1" t="n">
        <v>43652</v>
      </c>
      <c r="C40" s="1" t="n">
        <v>45585</v>
      </c>
      <c r="D40" t="inlineStr">
        <is>
          <t>VÄSTRA GÖTALANDS LÄN</t>
        </is>
      </c>
      <c r="E40" t="inlineStr">
        <is>
          <t>ORUST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50716-2019</t>
        </is>
      </c>
      <c r="B41" s="1" t="n">
        <v>43738</v>
      </c>
      <c r="C41" s="1" t="n">
        <v>45585</v>
      </c>
      <c r="D41" t="inlineStr">
        <is>
          <t>VÄSTRA GÖTALANDS LÄN</t>
        </is>
      </c>
      <c r="E41" t="inlineStr">
        <is>
          <t>ORUST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62386-2019</t>
        </is>
      </c>
      <c r="B42" s="1" t="n">
        <v>43788</v>
      </c>
      <c r="C42" s="1" t="n">
        <v>45585</v>
      </c>
      <c r="D42" t="inlineStr">
        <is>
          <t>VÄSTRA GÖTALANDS LÄN</t>
        </is>
      </c>
      <c r="E42" t="inlineStr">
        <is>
          <t>ORUST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62389-2019</t>
        </is>
      </c>
      <c r="B43" s="1" t="n">
        <v>43788</v>
      </c>
      <c r="C43" s="1" t="n">
        <v>45585</v>
      </c>
      <c r="D43" t="inlineStr">
        <is>
          <t>VÄSTRA GÖTALANDS LÄN</t>
        </is>
      </c>
      <c r="E43" t="inlineStr">
        <is>
          <t>ORUST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65579-2019</t>
        </is>
      </c>
      <c r="B44" s="1" t="n">
        <v>43804</v>
      </c>
      <c r="C44" s="1" t="n">
        <v>45585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1240-2020</t>
        </is>
      </c>
      <c r="B45" s="1" t="n">
        <v>43840</v>
      </c>
      <c r="C45" s="1" t="n">
        <v>45585</v>
      </c>
      <c r="D45" t="inlineStr">
        <is>
          <t>VÄSTRA GÖTALANDS LÄN</t>
        </is>
      </c>
      <c r="E45" t="inlineStr">
        <is>
          <t>ORUST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1244-2020</t>
        </is>
      </c>
      <c r="B46" s="1" t="n">
        <v>43840</v>
      </c>
      <c r="C46" s="1" t="n">
        <v>45585</v>
      </c>
      <c r="D46" t="inlineStr">
        <is>
          <t>VÄSTRA GÖTALANDS LÄN</t>
        </is>
      </c>
      <c r="E46" t="inlineStr">
        <is>
          <t>ORUST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4373-2020</t>
        </is>
      </c>
      <c r="B47" s="1" t="n">
        <v>43858</v>
      </c>
      <c r="C47" s="1" t="n">
        <v>45585</v>
      </c>
      <c r="D47" t="inlineStr">
        <is>
          <t>VÄSTRA GÖTALANDS LÄN</t>
        </is>
      </c>
      <c r="E47" t="inlineStr">
        <is>
          <t>ORUST</t>
        </is>
      </c>
      <c r="F47" t="inlineStr">
        <is>
          <t>Kommuner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4530-2020</t>
        </is>
      </c>
      <c r="B48" s="1" t="n">
        <v>43858</v>
      </c>
      <c r="C48" s="1" t="n">
        <v>45585</v>
      </c>
      <c r="D48" t="inlineStr">
        <is>
          <t>VÄSTRA GÖTALANDS LÄN</t>
        </is>
      </c>
      <c r="E48" t="inlineStr">
        <is>
          <t>ORUST</t>
        </is>
      </c>
      <c r="F48" t="inlineStr">
        <is>
          <t>Kommuner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4565-2020</t>
        </is>
      </c>
      <c r="B49" s="1" t="n">
        <v>43858</v>
      </c>
      <c r="C49" s="1" t="n">
        <v>45585</v>
      </c>
      <c r="D49" t="inlineStr">
        <is>
          <t>VÄSTRA GÖTALANDS LÄN</t>
        </is>
      </c>
      <c r="E49" t="inlineStr">
        <is>
          <t>ORUST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12790-2020</t>
        </is>
      </c>
      <c r="B50" s="1" t="n">
        <v>43899</v>
      </c>
      <c r="C50" s="1" t="n">
        <v>45585</v>
      </c>
      <c r="D50" t="inlineStr">
        <is>
          <t>VÄSTRA GÖTALANDS LÄN</t>
        </is>
      </c>
      <c r="E50" t="inlineStr">
        <is>
          <t>ORUST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19816-2020</t>
        </is>
      </c>
      <c r="B51" s="1" t="n">
        <v>43942</v>
      </c>
      <c r="C51" s="1" t="n">
        <v>45585</v>
      </c>
      <c r="D51" t="inlineStr">
        <is>
          <t>VÄSTRA GÖTALANDS LÄN</t>
        </is>
      </c>
      <c r="E51" t="inlineStr">
        <is>
          <t>ORUST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21912-2020</t>
        </is>
      </c>
      <c r="B52" s="1" t="n">
        <v>43958</v>
      </c>
      <c r="C52" s="1" t="n">
        <v>45585</v>
      </c>
      <c r="D52" t="inlineStr">
        <is>
          <t>VÄSTRA GÖTALANDS LÄN</t>
        </is>
      </c>
      <c r="E52" t="inlineStr">
        <is>
          <t>ORUST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22126-2020</t>
        </is>
      </c>
      <c r="B53" s="1" t="n">
        <v>43961</v>
      </c>
      <c r="C53" s="1" t="n">
        <v>45585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29952-2020</t>
        </is>
      </c>
      <c r="B54" s="1" t="n">
        <v>44006</v>
      </c>
      <c r="C54" s="1" t="n">
        <v>45585</v>
      </c>
      <c r="D54" t="inlineStr">
        <is>
          <t>VÄSTRA GÖTALANDS LÄN</t>
        </is>
      </c>
      <c r="E54" t="inlineStr">
        <is>
          <t>ORUST</t>
        </is>
      </c>
      <c r="G54" t="n">
        <v>10.8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51133-2020</t>
        </is>
      </c>
      <c r="B55" s="1" t="n">
        <v>44112</v>
      </c>
      <c r="C55" s="1" t="n">
        <v>45585</v>
      </c>
      <c r="D55" t="inlineStr">
        <is>
          <t>VÄSTRA GÖTALANDS LÄN</t>
        </is>
      </c>
      <c r="E55" t="inlineStr">
        <is>
          <t>ORUST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51131-2020</t>
        </is>
      </c>
      <c r="B56" s="1" t="n">
        <v>44112</v>
      </c>
      <c r="C56" s="1" t="n">
        <v>45585</v>
      </c>
      <c r="D56" t="inlineStr">
        <is>
          <t>VÄSTRA GÖTALANDS LÄN</t>
        </is>
      </c>
      <c r="E56" t="inlineStr">
        <is>
          <t>ORUST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52261-2020</t>
        </is>
      </c>
      <c r="B57" s="1" t="n">
        <v>44117</v>
      </c>
      <c r="C57" s="1" t="n">
        <v>45585</v>
      </c>
      <c r="D57" t="inlineStr">
        <is>
          <t>VÄSTRA GÖTALANDS LÄN</t>
        </is>
      </c>
      <c r="E57" t="inlineStr">
        <is>
          <t>ORUST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53271-2020</t>
        </is>
      </c>
      <c r="B58" s="1" t="n">
        <v>44123</v>
      </c>
      <c r="C58" s="1" t="n">
        <v>45585</v>
      </c>
      <c r="D58" t="inlineStr">
        <is>
          <t>VÄSTRA GÖTALANDS LÄN</t>
        </is>
      </c>
      <c r="E58" t="inlineStr">
        <is>
          <t>ORUST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57894-2020</t>
        </is>
      </c>
      <c r="B59" s="1" t="n">
        <v>44141</v>
      </c>
      <c r="C59" s="1" t="n">
        <v>45585</v>
      </c>
      <c r="D59" t="inlineStr">
        <is>
          <t>VÄSTRA GÖTALANDS LÄN</t>
        </is>
      </c>
      <c r="E59" t="inlineStr">
        <is>
          <t>ORUST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58819-2020</t>
        </is>
      </c>
      <c r="B60" s="1" t="n">
        <v>44141</v>
      </c>
      <c r="C60" s="1" t="n">
        <v>45585</v>
      </c>
      <c r="D60" t="inlineStr">
        <is>
          <t>VÄSTRA GÖTALANDS LÄN</t>
        </is>
      </c>
      <c r="E60" t="inlineStr">
        <is>
          <t>ORUST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61306-2020</t>
        </is>
      </c>
      <c r="B61" s="1" t="n">
        <v>44155</v>
      </c>
      <c r="C61" s="1" t="n">
        <v>45585</v>
      </c>
      <c r="D61" t="inlineStr">
        <is>
          <t>VÄSTRA GÖTALANDS LÄN</t>
        </is>
      </c>
      <c r="E61" t="inlineStr">
        <is>
          <t>ORUST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64765-2020</t>
        </is>
      </c>
      <c r="B62" s="1" t="n">
        <v>44169</v>
      </c>
      <c r="C62" s="1" t="n">
        <v>45585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65079-2020</t>
        </is>
      </c>
      <c r="B63" s="1" t="n">
        <v>44172</v>
      </c>
      <c r="C63" s="1" t="n">
        <v>45585</v>
      </c>
      <c r="D63" t="inlineStr">
        <is>
          <t>VÄSTRA GÖTALANDS LÄN</t>
        </is>
      </c>
      <c r="E63" t="inlineStr">
        <is>
          <t>ORUST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67752-2020</t>
        </is>
      </c>
      <c r="B64" s="1" t="n">
        <v>44182</v>
      </c>
      <c r="C64" s="1" t="n">
        <v>45585</v>
      </c>
      <c r="D64" t="inlineStr">
        <is>
          <t>VÄSTRA GÖTALANDS LÄN</t>
        </is>
      </c>
      <c r="E64" t="inlineStr">
        <is>
          <t>ORUST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6613-2021</t>
        </is>
      </c>
      <c r="B65" s="1" t="n">
        <v>44236</v>
      </c>
      <c r="C65" s="1" t="n">
        <v>45585</v>
      </c>
      <c r="D65" t="inlineStr">
        <is>
          <t>VÄSTRA GÖTALANDS LÄN</t>
        </is>
      </c>
      <c r="E65" t="inlineStr">
        <is>
          <t>ORUST</t>
        </is>
      </c>
      <c r="G65" t="n">
        <v>8.800000000000001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9182-2021</t>
        </is>
      </c>
      <c r="B66" s="1" t="n">
        <v>44250</v>
      </c>
      <c r="C66" s="1" t="n">
        <v>45585</v>
      </c>
      <c r="D66" t="inlineStr">
        <is>
          <t>VÄSTRA GÖTALANDS LÄN</t>
        </is>
      </c>
      <c r="E66" t="inlineStr">
        <is>
          <t>ORUST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10583-2021</t>
        </is>
      </c>
      <c r="B67" s="1" t="n">
        <v>44258</v>
      </c>
      <c r="C67" s="1" t="n">
        <v>45585</v>
      </c>
      <c r="D67" t="inlineStr">
        <is>
          <t>VÄSTRA GÖTALANDS LÄN</t>
        </is>
      </c>
      <c r="E67" t="inlineStr">
        <is>
          <t>ORUST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20898-2021</t>
        </is>
      </c>
      <c r="B68" s="1" t="n">
        <v>44319</v>
      </c>
      <c r="C68" s="1" t="n">
        <v>45585</v>
      </c>
      <c r="D68" t="inlineStr">
        <is>
          <t>VÄSTRA GÖTALANDS LÄN</t>
        </is>
      </c>
      <c r="E68" t="inlineStr">
        <is>
          <t>ORUST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20896-2021</t>
        </is>
      </c>
      <c r="B69" s="1" t="n">
        <v>44319</v>
      </c>
      <c r="C69" s="1" t="n">
        <v>45585</v>
      </c>
      <c r="D69" t="inlineStr">
        <is>
          <t>VÄSTRA GÖTALANDS LÄN</t>
        </is>
      </c>
      <c r="E69" t="inlineStr">
        <is>
          <t>ORUST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22255-2021</t>
        </is>
      </c>
      <c r="B70" s="1" t="n">
        <v>44326</v>
      </c>
      <c r="C70" s="1" t="n">
        <v>45585</v>
      </c>
      <c r="D70" t="inlineStr">
        <is>
          <t>VÄSTRA GÖTALANDS LÄN</t>
        </is>
      </c>
      <c r="E70" t="inlineStr">
        <is>
          <t>ORUST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22452-2021</t>
        </is>
      </c>
      <c r="B71" s="1" t="n">
        <v>44326</v>
      </c>
      <c r="C71" s="1" t="n">
        <v>45585</v>
      </c>
      <c r="D71" t="inlineStr">
        <is>
          <t>VÄSTRA GÖTALANDS LÄN</t>
        </is>
      </c>
      <c r="E71" t="inlineStr">
        <is>
          <t>ORUST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35810-2021</t>
        </is>
      </c>
      <c r="B72" s="1" t="n">
        <v>44386</v>
      </c>
      <c r="C72" s="1" t="n">
        <v>45585</v>
      </c>
      <c r="D72" t="inlineStr">
        <is>
          <t>VÄSTRA GÖTALANDS LÄN</t>
        </is>
      </c>
      <c r="E72" t="inlineStr">
        <is>
          <t>ORUST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45088-2021</t>
        </is>
      </c>
      <c r="B73" s="1" t="n">
        <v>44439</v>
      </c>
      <c r="C73" s="1" t="n">
        <v>45585</v>
      </c>
      <c r="D73" t="inlineStr">
        <is>
          <t>VÄSTRA GÖTALANDS LÄN</t>
        </is>
      </c>
      <c r="E73" t="inlineStr">
        <is>
          <t>ORUST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45044-2021</t>
        </is>
      </c>
      <c r="B74" s="1" t="n">
        <v>44439</v>
      </c>
      <c r="C74" s="1" t="n">
        <v>45585</v>
      </c>
      <c r="D74" t="inlineStr">
        <is>
          <t>VÄSTRA GÖTALANDS LÄN</t>
        </is>
      </c>
      <c r="E74" t="inlineStr">
        <is>
          <t>ORUST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45729-2021</t>
        </is>
      </c>
      <c r="B75" s="1" t="n">
        <v>44441</v>
      </c>
      <c r="C75" s="1" t="n">
        <v>45585</v>
      </c>
      <c r="D75" t="inlineStr">
        <is>
          <t>VÄSTRA GÖTALANDS LÄN</t>
        </is>
      </c>
      <c r="E75" t="inlineStr">
        <is>
          <t>ORUST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46629-2021</t>
        </is>
      </c>
      <c r="B76" s="1" t="n">
        <v>44445</v>
      </c>
      <c r="C76" s="1" t="n">
        <v>45585</v>
      </c>
      <c r="D76" t="inlineStr">
        <is>
          <t>VÄSTRA GÖTALANDS LÄN</t>
        </is>
      </c>
      <c r="E76" t="inlineStr">
        <is>
          <t>ORUST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47876-2021</t>
        </is>
      </c>
      <c r="B77" s="1" t="n">
        <v>44448</v>
      </c>
      <c r="C77" s="1" t="n">
        <v>45585</v>
      </c>
      <c r="D77" t="inlineStr">
        <is>
          <t>VÄSTRA GÖTALANDS LÄN</t>
        </is>
      </c>
      <c r="E77" t="inlineStr">
        <is>
          <t>ORUST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47885-2021</t>
        </is>
      </c>
      <c r="B78" s="1" t="n">
        <v>44448</v>
      </c>
      <c r="C78" s="1" t="n">
        <v>45585</v>
      </c>
      <c r="D78" t="inlineStr">
        <is>
          <t>VÄSTRA GÖTALANDS LÄN</t>
        </is>
      </c>
      <c r="E78" t="inlineStr">
        <is>
          <t>ORUST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47877-2021</t>
        </is>
      </c>
      <c r="B79" s="1" t="n">
        <v>44448</v>
      </c>
      <c r="C79" s="1" t="n">
        <v>45585</v>
      </c>
      <c r="D79" t="inlineStr">
        <is>
          <t>VÄSTRA GÖTALANDS LÄN</t>
        </is>
      </c>
      <c r="E79" t="inlineStr">
        <is>
          <t>ORUST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47886-2021</t>
        </is>
      </c>
      <c r="B80" s="1" t="n">
        <v>44448</v>
      </c>
      <c r="C80" s="1" t="n">
        <v>45585</v>
      </c>
      <c r="D80" t="inlineStr">
        <is>
          <t>VÄSTRA GÖTALANDS LÄN</t>
        </is>
      </c>
      <c r="E80" t="inlineStr">
        <is>
          <t>ORUST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47882-2021</t>
        </is>
      </c>
      <c r="B81" s="1" t="n">
        <v>44448</v>
      </c>
      <c r="C81" s="1" t="n">
        <v>45585</v>
      </c>
      <c r="D81" t="inlineStr">
        <is>
          <t>VÄSTRA GÖTALANDS LÄN</t>
        </is>
      </c>
      <c r="E81" t="inlineStr">
        <is>
          <t>ORUST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47883-2021</t>
        </is>
      </c>
      <c r="B82" s="1" t="n">
        <v>44448</v>
      </c>
      <c r="C82" s="1" t="n">
        <v>45585</v>
      </c>
      <c r="D82" t="inlineStr">
        <is>
          <t>VÄSTRA GÖTALANDS LÄN</t>
        </is>
      </c>
      <c r="E82" t="inlineStr">
        <is>
          <t>ORUST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49134-2021</t>
        </is>
      </c>
      <c r="B83" s="1" t="n">
        <v>44453</v>
      </c>
      <c r="C83" s="1" t="n">
        <v>45585</v>
      </c>
      <c r="D83" t="inlineStr">
        <is>
          <t>VÄSTRA GÖTALANDS LÄN</t>
        </is>
      </c>
      <c r="E83" t="inlineStr">
        <is>
          <t>ORUST</t>
        </is>
      </c>
      <c r="F83" t="inlineStr">
        <is>
          <t>Kommuner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55691-2021</t>
        </is>
      </c>
      <c r="B84" s="1" t="n">
        <v>44476</v>
      </c>
      <c r="C84" s="1" t="n">
        <v>45585</v>
      </c>
      <c r="D84" t="inlineStr">
        <is>
          <t>VÄSTRA GÖTALANDS LÄN</t>
        </is>
      </c>
      <c r="E84" t="inlineStr">
        <is>
          <t>ORUST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56496-2021</t>
        </is>
      </c>
      <c r="B85" s="1" t="n">
        <v>44480</v>
      </c>
      <c r="C85" s="1" t="n">
        <v>45585</v>
      </c>
      <c r="D85" t="inlineStr">
        <is>
          <t>VÄSTRA GÖTALANDS LÄN</t>
        </is>
      </c>
      <c r="E85" t="inlineStr">
        <is>
          <t>ORUST</t>
        </is>
      </c>
      <c r="G85" t="n">
        <v>10.3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63141-2021</t>
        </is>
      </c>
      <c r="B86" s="1" t="n">
        <v>44505</v>
      </c>
      <c r="C86" s="1" t="n">
        <v>45585</v>
      </c>
      <c r="D86" t="inlineStr">
        <is>
          <t>VÄSTRA GÖTALANDS LÄN</t>
        </is>
      </c>
      <c r="E86" t="inlineStr">
        <is>
          <t>ORUST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68727-2021</t>
        </is>
      </c>
      <c r="B87" s="1" t="n">
        <v>44529</v>
      </c>
      <c r="C87" s="1" t="n">
        <v>45585</v>
      </c>
      <c r="D87" t="inlineStr">
        <is>
          <t>VÄSTRA GÖTALANDS LÄN</t>
        </is>
      </c>
      <c r="E87" t="inlineStr">
        <is>
          <t>ORUST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69193-2021</t>
        </is>
      </c>
      <c r="B88" s="1" t="n">
        <v>44531</v>
      </c>
      <c r="C88" s="1" t="n">
        <v>45585</v>
      </c>
      <c r="D88" t="inlineStr">
        <is>
          <t>VÄSTRA GÖTALANDS LÄN</t>
        </is>
      </c>
      <c r="E88" t="inlineStr">
        <is>
          <t>ORUST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69196-2021</t>
        </is>
      </c>
      <c r="B89" s="1" t="n">
        <v>44531</v>
      </c>
      <c r="C89" s="1" t="n">
        <v>45585</v>
      </c>
      <c r="D89" t="inlineStr">
        <is>
          <t>VÄSTRA GÖTALANDS LÄN</t>
        </is>
      </c>
      <c r="E89" t="inlineStr">
        <is>
          <t>ORUST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71890-2021</t>
        </is>
      </c>
      <c r="B90" s="1" t="n">
        <v>44543</v>
      </c>
      <c r="C90" s="1" t="n">
        <v>45585</v>
      </c>
      <c r="D90" t="inlineStr">
        <is>
          <t>VÄSTRA GÖTALANDS LÄN</t>
        </is>
      </c>
      <c r="E90" t="inlineStr">
        <is>
          <t>ORUST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72226-2021</t>
        </is>
      </c>
      <c r="B91" s="1" t="n">
        <v>44544</v>
      </c>
      <c r="C91" s="1" t="n">
        <v>45585</v>
      </c>
      <c r="D91" t="inlineStr">
        <is>
          <t>VÄSTRA GÖTALANDS LÄN</t>
        </is>
      </c>
      <c r="E91" t="inlineStr">
        <is>
          <t>ORUST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73292-2021</t>
        </is>
      </c>
      <c r="B92" s="1" t="n">
        <v>44550</v>
      </c>
      <c r="C92" s="1" t="n">
        <v>45585</v>
      </c>
      <c r="D92" t="inlineStr">
        <is>
          <t>VÄSTRA GÖTALANDS LÄN</t>
        </is>
      </c>
      <c r="E92" t="inlineStr">
        <is>
          <t>ORUST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564-2022</t>
        </is>
      </c>
      <c r="B93" s="1" t="n">
        <v>44566</v>
      </c>
      <c r="C93" s="1" t="n">
        <v>45585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900-2022</t>
        </is>
      </c>
      <c r="B94" s="1" t="n">
        <v>44571</v>
      </c>
      <c r="C94" s="1" t="n">
        <v>45585</v>
      </c>
      <c r="D94" t="inlineStr">
        <is>
          <t>VÄSTRA GÖTALANDS LÄN</t>
        </is>
      </c>
      <c r="E94" t="inlineStr">
        <is>
          <t>ORUST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2080-2022</t>
        </is>
      </c>
      <c r="B95" s="1" t="n">
        <v>44576</v>
      </c>
      <c r="C95" s="1" t="n">
        <v>45585</v>
      </c>
      <c r="D95" t="inlineStr">
        <is>
          <t>VÄSTRA GÖTALANDS LÄN</t>
        </is>
      </c>
      <c r="E95" t="inlineStr">
        <is>
          <t>ORUST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3750-2022</t>
        </is>
      </c>
      <c r="B96" s="1" t="n">
        <v>44586</v>
      </c>
      <c r="C96" s="1" t="n">
        <v>45585</v>
      </c>
      <c r="D96" t="inlineStr">
        <is>
          <t>VÄSTRA GÖTALANDS LÄN</t>
        </is>
      </c>
      <c r="E96" t="inlineStr">
        <is>
          <t>ORUST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7998-2022</t>
        </is>
      </c>
      <c r="B97" s="1" t="n">
        <v>44609</v>
      </c>
      <c r="C97" s="1" t="n">
        <v>45585</v>
      </c>
      <c r="D97" t="inlineStr">
        <is>
          <t>VÄSTRA GÖTALANDS LÄN</t>
        </is>
      </c>
      <c r="E97" t="inlineStr">
        <is>
          <t>ORUST</t>
        </is>
      </c>
      <c r="G97" t="n">
        <v>24.2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8286-2022</t>
        </is>
      </c>
      <c r="B98" s="1" t="n">
        <v>44610</v>
      </c>
      <c r="C98" s="1" t="n">
        <v>45585</v>
      </c>
      <c r="D98" t="inlineStr">
        <is>
          <t>VÄSTRA GÖTALANDS LÄN</t>
        </is>
      </c>
      <c r="E98" t="inlineStr">
        <is>
          <t>ORUST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14547-2022</t>
        </is>
      </c>
      <c r="B99" s="1" t="n">
        <v>44655</v>
      </c>
      <c r="C99" s="1" t="n">
        <v>45585</v>
      </c>
      <c r="D99" t="inlineStr">
        <is>
          <t>VÄSTRA GÖTALANDS LÄN</t>
        </is>
      </c>
      <c r="E99" t="inlineStr">
        <is>
          <t>ORUST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15006-2022</t>
        </is>
      </c>
      <c r="B100" s="1" t="n">
        <v>44657</v>
      </c>
      <c r="C100" s="1" t="n">
        <v>45585</v>
      </c>
      <c r="D100" t="inlineStr">
        <is>
          <t>VÄSTRA GÖTALANDS LÄN</t>
        </is>
      </c>
      <c r="E100" t="inlineStr">
        <is>
          <t>ORUST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19785-2022</t>
        </is>
      </c>
      <c r="B101" s="1" t="n">
        <v>44694</v>
      </c>
      <c r="C101" s="1" t="n">
        <v>45585</v>
      </c>
      <c r="D101" t="inlineStr">
        <is>
          <t>VÄSTRA GÖTALANDS LÄN</t>
        </is>
      </c>
      <c r="E101" t="inlineStr">
        <is>
          <t>ORUST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19784-2022</t>
        </is>
      </c>
      <c r="B102" s="1" t="n">
        <v>44694</v>
      </c>
      <c r="C102" s="1" t="n">
        <v>45585</v>
      </c>
      <c r="D102" t="inlineStr">
        <is>
          <t>VÄSTRA GÖTALANDS LÄN</t>
        </is>
      </c>
      <c r="E102" t="inlineStr">
        <is>
          <t>ORUST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33954-2022</t>
        </is>
      </c>
      <c r="B103" s="1" t="n">
        <v>44790</v>
      </c>
      <c r="C103" s="1" t="n">
        <v>45585</v>
      </c>
      <c r="D103" t="inlineStr">
        <is>
          <t>VÄSTRA GÖTALANDS LÄN</t>
        </is>
      </c>
      <c r="E103" t="inlineStr">
        <is>
          <t>ORUST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34217-2022</t>
        </is>
      </c>
      <c r="B104" s="1" t="n">
        <v>44791</v>
      </c>
      <c r="C104" s="1" t="n">
        <v>45585</v>
      </c>
      <c r="D104" t="inlineStr">
        <is>
          <t>VÄSTRA GÖTALANDS LÄN</t>
        </is>
      </c>
      <c r="E104" t="inlineStr">
        <is>
          <t>ORUST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34380-2022</t>
        </is>
      </c>
      <c r="B105" s="1" t="n">
        <v>44792</v>
      </c>
      <c r="C105" s="1" t="n">
        <v>45585</v>
      </c>
      <c r="D105" t="inlineStr">
        <is>
          <t>VÄSTRA GÖTALANDS LÄN</t>
        </is>
      </c>
      <c r="E105" t="inlineStr">
        <is>
          <t>ORUST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41592-2022</t>
        </is>
      </c>
      <c r="B106" s="1" t="n">
        <v>44827</v>
      </c>
      <c r="C106" s="1" t="n">
        <v>45585</v>
      </c>
      <c r="D106" t="inlineStr">
        <is>
          <t>VÄSTRA GÖTALANDS LÄN</t>
        </is>
      </c>
      <c r="E106" t="inlineStr">
        <is>
          <t>ORUST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49821-2022</t>
        </is>
      </c>
      <c r="B107" s="1" t="n">
        <v>44862</v>
      </c>
      <c r="C107" s="1" t="n">
        <v>45585</v>
      </c>
      <c r="D107" t="inlineStr">
        <is>
          <t>VÄSTRA GÖTALANDS LÄN</t>
        </is>
      </c>
      <c r="E107" t="inlineStr">
        <is>
          <t>ORUST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49822-2022</t>
        </is>
      </c>
      <c r="B108" s="1" t="n">
        <v>44862</v>
      </c>
      <c r="C108" s="1" t="n">
        <v>45585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51993-2022</t>
        </is>
      </c>
      <c r="B109" s="1" t="n">
        <v>44872</v>
      </c>
      <c r="C109" s="1" t="n">
        <v>45585</v>
      </c>
      <c r="D109" t="inlineStr">
        <is>
          <t>VÄSTRA GÖTALANDS LÄN</t>
        </is>
      </c>
      <c r="E109" t="inlineStr">
        <is>
          <t>ORUST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52012-2022</t>
        </is>
      </c>
      <c r="B110" s="1" t="n">
        <v>44872</v>
      </c>
      <c r="C110" s="1" t="n">
        <v>45585</v>
      </c>
      <c r="D110" t="inlineStr">
        <is>
          <t>VÄSTRA GÖTALANDS LÄN</t>
        </is>
      </c>
      <c r="E110" t="inlineStr">
        <is>
          <t>ORUST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55777-2022</t>
        </is>
      </c>
      <c r="B111" s="1" t="n">
        <v>44888</v>
      </c>
      <c r="C111" s="1" t="n">
        <v>45585</v>
      </c>
      <c r="D111" t="inlineStr">
        <is>
          <t>VÄSTRA GÖTALANDS LÄN</t>
        </is>
      </c>
      <c r="E111" t="inlineStr">
        <is>
          <t>ORUST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55791-2022</t>
        </is>
      </c>
      <c r="B112" s="1" t="n">
        <v>44888</v>
      </c>
      <c r="C112" s="1" t="n">
        <v>45585</v>
      </c>
      <c r="D112" t="inlineStr">
        <is>
          <t>VÄSTRA GÖTALANDS LÄN</t>
        </is>
      </c>
      <c r="E112" t="inlineStr">
        <is>
          <t>ORUST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57877-2022</t>
        </is>
      </c>
      <c r="B113" s="1" t="n">
        <v>44899</v>
      </c>
      <c r="C113" s="1" t="n">
        <v>45585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57878-2022</t>
        </is>
      </c>
      <c r="B114" s="1" t="n">
        <v>44899</v>
      </c>
      <c r="C114" s="1" t="n">
        <v>45585</v>
      </c>
      <c r="D114" t="inlineStr">
        <is>
          <t>VÄSTRA GÖTALANDS LÄN</t>
        </is>
      </c>
      <c r="E114" t="inlineStr">
        <is>
          <t>ORUST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59063-2022</t>
        </is>
      </c>
      <c r="B115" s="1" t="n">
        <v>44904</v>
      </c>
      <c r="C115" s="1" t="n">
        <v>45585</v>
      </c>
      <c r="D115" t="inlineStr">
        <is>
          <t>VÄSTRA GÖTALANDS LÄN</t>
        </is>
      </c>
      <c r="E115" t="inlineStr">
        <is>
          <t>ORUST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62086-2022</t>
        </is>
      </c>
      <c r="B116" s="1" t="n">
        <v>44919</v>
      </c>
      <c r="C116" s="1" t="n">
        <v>45585</v>
      </c>
      <c r="D116" t="inlineStr">
        <is>
          <t>VÄSTRA GÖTALANDS LÄN</t>
        </is>
      </c>
      <c r="E116" t="inlineStr">
        <is>
          <t>ORUST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62516-2022</t>
        </is>
      </c>
      <c r="B117" s="1" t="n">
        <v>44924</v>
      </c>
      <c r="C117" s="1" t="n">
        <v>45585</v>
      </c>
      <c r="D117" t="inlineStr">
        <is>
          <t>VÄSTRA GÖTALANDS LÄN</t>
        </is>
      </c>
      <c r="E117" t="inlineStr">
        <is>
          <t>ORUST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771-2023</t>
        </is>
      </c>
      <c r="B118" s="1" t="n">
        <v>44931</v>
      </c>
      <c r="C118" s="1" t="n">
        <v>45585</v>
      </c>
      <c r="D118" t="inlineStr">
        <is>
          <t>VÄSTRA GÖTALANDS LÄN</t>
        </is>
      </c>
      <c r="E118" t="inlineStr">
        <is>
          <t>ORUST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4721-2023</t>
        </is>
      </c>
      <c r="B119" s="1" t="n">
        <v>44957</v>
      </c>
      <c r="C119" s="1" t="n">
        <v>45585</v>
      </c>
      <c r="D119" t="inlineStr">
        <is>
          <t>VÄSTRA GÖTALANDS LÄN</t>
        </is>
      </c>
      <c r="E119" t="inlineStr">
        <is>
          <t>ORUST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13243-2023</t>
        </is>
      </c>
      <c r="B120" s="1" t="n">
        <v>45002</v>
      </c>
      <c r="C120" s="1" t="n">
        <v>45585</v>
      </c>
      <c r="D120" t="inlineStr">
        <is>
          <t>VÄSTRA GÖTALANDS LÄN</t>
        </is>
      </c>
      <c r="E120" t="inlineStr">
        <is>
          <t>ORUST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13378-2023</t>
        </is>
      </c>
      <c r="B121" s="1" t="n">
        <v>45005</v>
      </c>
      <c r="C121" s="1" t="n">
        <v>45585</v>
      </c>
      <c r="D121" t="inlineStr">
        <is>
          <t>VÄSTRA GÖTALANDS LÄN</t>
        </is>
      </c>
      <c r="E121" t="inlineStr">
        <is>
          <t>ORUST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13377-2023</t>
        </is>
      </c>
      <c r="B122" s="1" t="n">
        <v>45005</v>
      </c>
      <c r="C122" s="1" t="n">
        <v>45585</v>
      </c>
      <c r="D122" t="inlineStr">
        <is>
          <t>VÄSTRA GÖTALANDS LÄN</t>
        </is>
      </c>
      <c r="E122" t="inlineStr">
        <is>
          <t>ORUST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14782-2023</t>
        </is>
      </c>
      <c r="B123" s="1" t="n">
        <v>45014</v>
      </c>
      <c r="C123" s="1" t="n">
        <v>45585</v>
      </c>
      <c r="D123" t="inlineStr">
        <is>
          <t>VÄSTRA GÖTALANDS LÄN</t>
        </is>
      </c>
      <c r="E123" t="inlineStr">
        <is>
          <t>ORUST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14776-2023</t>
        </is>
      </c>
      <c r="B124" s="1" t="n">
        <v>45014</v>
      </c>
      <c r="C124" s="1" t="n">
        <v>45585</v>
      </c>
      <c r="D124" t="inlineStr">
        <is>
          <t>VÄSTRA GÖTALANDS LÄN</t>
        </is>
      </c>
      <c r="E124" t="inlineStr">
        <is>
          <t>ORUST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14800-2023</t>
        </is>
      </c>
      <c r="B125" s="1" t="n">
        <v>45014</v>
      </c>
      <c r="C125" s="1" t="n">
        <v>45585</v>
      </c>
      <c r="D125" t="inlineStr">
        <is>
          <t>VÄSTRA GÖTALANDS LÄN</t>
        </is>
      </c>
      <c r="E125" t="inlineStr">
        <is>
          <t>ORUST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14797-2023</t>
        </is>
      </c>
      <c r="B126" s="1" t="n">
        <v>45014</v>
      </c>
      <c r="C126" s="1" t="n">
        <v>45585</v>
      </c>
      <c r="D126" t="inlineStr">
        <is>
          <t>VÄSTRA GÖTALANDS LÄN</t>
        </is>
      </c>
      <c r="E126" t="inlineStr">
        <is>
          <t>ORUST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14802-2023</t>
        </is>
      </c>
      <c r="B127" s="1" t="n">
        <v>45014</v>
      </c>
      <c r="C127" s="1" t="n">
        <v>45585</v>
      </c>
      <c r="D127" t="inlineStr">
        <is>
          <t>VÄSTRA GÖTALANDS LÄN</t>
        </is>
      </c>
      <c r="E127" t="inlineStr">
        <is>
          <t>ORUST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14794-2023</t>
        </is>
      </c>
      <c r="B128" s="1" t="n">
        <v>45014</v>
      </c>
      <c r="C128" s="1" t="n">
        <v>45585</v>
      </c>
      <c r="D128" t="inlineStr">
        <is>
          <t>VÄSTRA GÖTALANDS LÄN</t>
        </is>
      </c>
      <c r="E128" t="inlineStr">
        <is>
          <t>ORUST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15456-2023</t>
        </is>
      </c>
      <c r="B129" s="1" t="n">
        <v>45020</v>
      </c>
      <c r="C129" s="1" t="n">
        <v>45585</v>
      </c>
      <c r="D129" t="inlineStr">
        <is>
          <t>VÄSTRA GÖTALANDS LÄN</t>
        </is>
      </c>
      <c r="E129" t="inlineStr">
        <is>
          <t>ORUST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15462-2023</t>
        </is>
      </c>
      <c r="B130" s="1" t="n">
        <v>45020</v>
      </c>
      <c r="C130" s="1" t="n">
        <v>45585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15470-2023</t>
        </is>
      </c>
      <c r="B131" s="1" t="n">
        <v>45020</v>
      </c>
      <c r="C131" s="1" t="n">
        <v>45585</v>
      </c>
      <c r="D131" t="inlineStr">
        <is>
          <t>VÄSTRA GÖTALANDS LÄN</t>
        </is>
      </c>
      <c r="E131" t="inlineStr">
        <is>
          <t>ORUST</t>
        </is>
      </c>
      <c r="G131" t="n">
        <v>27.7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18791-2023</t>
        </is>
      </c>
      <c r="B132" s="1" t="n">
        <v>45044</v>
      </c>
      <c r="C132" s="1" t="n">
        <v>45585</v>
      </c>
      <c r="D132" t="inlineStr">
        <is>
          <t>VÄSTRA GÖTALANDS LÄN</t>
        </is>
      </c>
      <c r="E132" t="inlineStr">
        <is>
          <t>ORUST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19008-2023</t>
        </is>
      </c>
      <c r="B133" s="1" t="n">
        <v>45045</v>
      </c>
      <c r="C133" s="1" t="n">
        <v>45585</v>
      </c>
      <c r="D133" t="inlineStr">
        <is>
          <t>VÄSTRA GÖTALANDS LÄN</t>
        </is>
      </c>
      <c r="E133" t="inlineStr">
        <is>
          <t>ORUST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19006-2023</t>
        </is>
      </c>
      <c r="B134" s="1" t="n">
        <v>45045</v>
      </c>
      <c r="C134" s="1" t="n">
        <v>45585</v>
      </c>
      <c r="D134" t="inlineStr">
        <is>
          <t>VÄSTRA GÖTALANDS LÄN</t>
        </is>
      </c>
      <c r="E134" t="inlineStr">
        <is>
          <t>ORUST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19005-2023</t>
        </is>
      </c>
      <c r="B135" s="1" t="n">
        <v>45045</v>
      </c>
      <c r="C135" s="1" t="n">
        <v>45585</v>
      </c>
      <c r="D135" t="inlineStr">
        <is>
          <t>VÄSTRA GÖTALANDS LÄN</t>
        </is>
      </c>
      <c r="E135" t="inlineStr">
        <is>
          <t>ORUST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20077-2023</t>
        </is>
      </c>
      <c r="B136" s="1" t="n">
        <v>45054</v>
      </c>
      <c r="C136" s="1" t="n">
        <v>45585</v>
      </c>
      <c r="D136" t="inlineStr">
        <is>
          <t>VÄSTRA GÖTALANDS LÄN</t>
        </is>
      </c>
      <c r="E136" t="inlineStr">
        <is>
          <t>ORUST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20823-2023</t>
        </is>
      </c>
      <c r="B137" s="1" t="n">
        <v>45058</v>
      </c>
      <c r="C137" s="1" t="n">
        <v>45585</v>
      </c>
      <c r="D137" t="inlineStr">
        <is>
          <t>VÄSTRA GÖTALANDS LÄN</t>
        </is>
      </c>
      <c r="E137" t="inlineStr">
        <is>
          <t>ORUST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20819-2023</t>
        </is>
      </c>
      <c r="B138" s="1" t="n">
        <v>45058</v>
      </c>
      <c r="C138" s="1" t="n">
        <v>45585</v>
      </c>
      <c r="D138" t="inlineStr">
        <is>
          <t>VÄSTRA GÖTALANDS LÄN</t>
        </is>
      </c>
      <c r="E138" t="inlineStr">
        <is>
          <t>ORUST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30209-2023</t>
        </is>
      </c>
      <c r="B139" s="1" t="n">
        <v>45110</v>
      </c>
      <c r="C139" s="1" t="n">
        <v>45585</v>
      </c>
      <c r="D139" t="inlineStr">
        <is>
          <t>VÄSTRA GÖTALANDS LÄN</t>
        </is>
      </c>
      <c r="E139" t="inlineStr">
        <is>
          <t>ORUST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33454-2023</t>
        </is>
      </c>
      <c r="B140" s="1" t="n">
        <v>45130</v>
      </c>
      <c r="C140" s="1" t="n">
        <v>45585</v>
      </c>
      <c r="D140" t="inlineStr">
        <is>
          <t>VÄSTRA GÖTALANDS LÄN</t>
        </is>
      </c>
      <c r="E140" t="inlineStr">
        <is>
          <t>ORUST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34354-2023</t>
        </is>
      </c>
      <c r="B141" s="1" t="n">
        <v>45139</v>
      </c>
      <c r="C141" s="1" t="n">
        <v>45585</v>
      </c>
      <c r="D141" t="inlineStr">
        <is>
          <t>VÄSTRA GÖTALANDS LÄN</t>
        </is>
      </c>
      <c r="E141" t="inlineStr">
        <is>
          <t>ORUST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36751-2023</t>
        </is>
      </c>
      <c r="B142" s="1" t="n">
        <v>45154</v>
      </c>
      <c r="C142" s="1" t="n">
        <v>45585</v>
      </c>
      <c r="D142" t="inlineStr">
        <is>
          <t>VÄSTRA GÖTALANDS LÄN</t>
        </is>
      </c>
      <c r="E142" t="inlineStr">
        <is>
          <t>ORUST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36999-2023</t>
        </is>
      </c>
      <c r="B143" s="1" t="n">
        <v>45155</v>
      </c>
      <c r="C143" s="1" t="n">
        <v>45585</v>
      </c>
      <c r="D143" t="inlineStr">
        <is>
          <t>VÄSTRA GÖTALANDS LÄN</t>
        </is>
      </c>
      <c r="E143" t="inlineStr">
        <is>
          <t>ORUST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37000-2023</t>
        </is>
      </c>
      <c r="B144" s="1" t="n">
        <v>45155</v>
      </c>
      <c r="C144" s="1" t="n">
        <v>45585</v>
      </c>
      <c r="D144" t="inlineStr">
        <is>
          <t>VÄSTRA GÖTALANDS LÄN</t>
        </is>
      </c>
      <c r="E144" t="inlineStr">
        <is>
          <t>ORUST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38322-2023</t>
        </is>
      </c>
      <c r="B145" s="1" t="n">
        <v>45161</v>
      </c>
      <c r="C145" s="1" t="n">
        <v>45585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42429-2023</t>
        </is>
      </c>
      <c r="B146" s="1" t="n">
        <v>45180</v>
      </c>
      <c r="C146" s="1" t="n">
        <v>45585</v>
      </c>
      <c r="D146" t="inlineStr">
        <is>
          <t>VÄSTRA GÖTALANDS LÄN</t>
        </is>
      </c>
      <c r="E146" t="inlineStr">
        <is>
          <t>ORUST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42712-2023</t>
        </is>
      </c>
      <c r="B147" s="1" t="n">
        <v>45181</v>
      </c>
      <c r="C147" s="1" t="n">
        <v>45585</v>
      </c>
      <c r="D147" t="inlineStr">
        <is>
          <t>VÄSTRA GÖTALANDS LÄN</t>
        </is>
      </c>
      <c r="E147" t="inlineStr">
        <is>
          <t>ORUST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43752-2023</t>
        </is>
      </c>
      <c r="B148" s="1" t="n">
        <v>45187</v>
      </c>
      <c r="C148" s="1" t="n">
        <v>45585</v>
      </c>
      <c r="D148" t="inlineStr">
        <is>
          <t>VÄSTRA GÖTALANDS LÄN</t>
        </is>
      </c>
      <c r="E148" t="inlineStr">
        <is>
          <t>ORUST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46708-2023</t>
        </is>
      </c>
      <c r="B149" s="1" t="n">
        <v>45198</v>
      </c>
      <c r="C149" s="1" t="n">
        <v>45585</v>
      </c>
      <c r="D149" t="inlineStr">
        <is>
          <t>VÄSTRA GÖTALANDS LÄN</t>
        </is>
      </c>
      <c r="E149" t="inlineStr">
        <is>
          <t>ORUST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49617-2023</t>
        </is>
      </c>
      <c r="B150" s="1" t="n">
        <v>45211</v>
      </c>
      <c r="C150" s="1" t="n">
        <v>45585</v>
      </c>
      <c r="D150" t="inlineStr">
        <is>
          <t>VÄSTRA GÖTALANDS LÄN</t>
        </is>
      </c>
      <c r="E150" t="inlineStr">
        <is>
          <t>ORUST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59309-2023</t>
        </is>
      </c>
      <c r="B151" s="1" t="n">
        <v>45253</v>
      </c>
      <c r="C151" s="1" t="n">
        <v>45585</v>
      </c>
      <c r="D151" t="inlineStr">
        <is>
          <t>VÄSTRA GÖTALANDS LÄN</t>
        </is>
      </c>
      <c r="E151" t="inlineStr">
        <is>
          <t>ORUST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62369-2023</t>
        </is>
      </c>
      <c r="B152" s="1" t="n">
        <v>45268</v>
      </c>
      <c r="C152" s="1" t="n">
        <v>45585</v>
      </c>
      <c r="D152" t="inlineStr">
        <is>
          <t>VÄSTRA GÖTALANDS LÄN</t>
        </is>
      </c>
      <c r="E152" t="inlineStr">
        <is>
          <t>ORUST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63419-2023</t>
        </is>
      </c>
      <c r="B153" s="1" t="n">
        <v>45274</v>
      </c>
      <c r="C153" s="1" t="n">
        <v>45585</v>
      </c>
      <c r="D153" t="inlineStr">
        <is>
          <t>VÄSTRA GÖTALANDS LÄN</t>
        </is>
      </c>
      <c r="E153" t="inlineStr">
        <is>
          <t>ORUST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63602-2023</t>
        </is>
      </c>
      <c r="B154" s="1" t="n">
        <v>45275</v>
      </c>
      <c r="C154" s="1" t="n">
        <v>45585</v>
      </c>
      <c r="D154" t="inlineStr">
        <is>
          <t>VÄSTRA GÖTALANDS LÄN</t>
        </is>
      </c>
      <c r="E154" t="inlineStr">
        <is>
          <t>ORUST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63626-2023</t>
        </is>
      </c>
      <c r="B155" s="1" t="n">
        <v>45275</v>
      </c>
      <c r="C155" s="1" t="n">
        <v>45585</v>
      </c>
      <c r="D155" t="inlineStr">
        <is>
          <t>VÄSTRA GÖTALANDS LÄN</t>
        </is>
      </c>
      <c r="E155" t="inlineStr">
        <is>
          <t>ORUST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63580-2023</t>
        </is>
      </c>
      <c r="B156" s="1" t="n">
        <v>45275</v>
      </c>
      <c r="C156" s="1" t="n">
        <v>45585</v>
      </c>
      <c r="D156" t="inlineStr">
        <is>
          <t>VÄSTRA GÖTALANDS LÄN</t>
        </is>
      </c>
      <c r="E156" t="inlineStr">
        <is>
          <t>ORUST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64217-2023</t>
        </is>
      </c>
      <c r="B157" s="1" t="n">
        <v>45279</v>
      </c>
      <c r="C157" s="1" t="n">
        <v>45585</v>
      </c>
      <c r="D157" t="inlineStr">
        <is>
          <t>VÄSTRA GÖTALANDS LÄN</t>
        </is>
      </c>
      <c r="E157" t="inlineStr">
        <is>
          <t>ORUST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1663-2024</t>
        </is>
      </c>
      <c r="B158" s="1" t="n">
        <v>45306</v>
      </c>
      <c r="C158" s="1" t="n">
        <v>45585</v>
      </c>
      <c r="D158" t="inlineStr">
        <is>
          <t>VÄSTRA GÖTALANDS LÄN</t>
        </is>
      </c>
      <c r="E158" t="inlineStr">
        <is>
          <t>ORUST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2632-2024</t>
        </is>
      </c>
      <c r="B159" s="1" t="n">
        <v>45314</v>
      </c>
      <c r="C159" s="1" t="n">
        <v>45585</v>
      </c>
      <c r="D159" t="inlineStr">
        <is>
          <t>VÄSTRA GÖTALANDS LÄN</t>
        </is>
      </c>
      <c r="E159" t="inlineStr">
        <is>
          <t>ORUST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5617-2024</t>
        </is>
      </c>
      <c r="B160" s="1" t="n">
        <v>45334</v>
      </c>
      <c r="C160" s="1" t="n">
        <v>45585</v>
      </c>
      <c r="D160" t="inlineStr">
        <is>
          <t>VÄSTRA GÖTALANDS LÄN</t>
        </is>
      </c>
      <c r="E160" t="inlineStr">
        <is>
          <t>ORUST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HYPERLINK("https://klasma.github.io/Logging_1421/knärot/A 5617-2024 karta knärot.png", "A 5617-2024")</f>
        <v/>
      </c>
      <c r="V160">
        <f>HYPERLINK("https://klasma.github.io/Logging_1421/klagomål/A 5617-2024 FSC-klagomål.docx", "A 5617-2024")</f>
        <v/>
      </c>
      <c r="W160">
        <f>HYPERLINK("https://klasma.github.io/Logging_1421/klagomålsmail/A 5617-2024 FSC-klagomål mail.docx", "A 5617-2024")</f>
        <v/>
      </c>
      <c r="X160">
        <f>HYPERLINK("https://klasma.github.io/Logging_1421/tillsyn/A 5617-2024 tillsynsbegäran.docx", "A 5617-2024")</f>
        <v/>
      </c>
      <c r="Y160">
        <f>HYPERLINK("https://klasma.github.io/Logging_1421/tillsynsmail/A 5617-2024 tillsynsbegäran mail.docx", "A 5617-2024")</f>
        <v/>
      </c>
    </row>
    <row r="161" ht="15" customHeight="1">
      <c r="A161" t="inlineStr">
        <is>
          <t>A 5713-2024</t>
        </is>
      </c>
      <c r="B161" s="1" t="n">
        <v>45334</v>
      </c>
      <c r="C161" s="1" t="n">
        <v>45585</v>
      </c>
      <c r="D161" t="inlineStr">
        <is>
          <t>VÄSTRA GÖTALANDS LÄN</t>
        </is>
      </c>
      <c r="E161" t="inlineStr">
        <is>
          <t>ORUST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5714-2024</t>
        </is>
      </c>
      <c r="B162" s="1" t="n">
        <v>45334</v>
      </c>
      <c r="C162" s="1" t="n">
        <v>45585</v>
      </c>
      <c r="D162" t="inlineStr">
        <is>
          <t>VÄSTRA GÖTALANDS LÄN</t>
        </is>
      </c>
      <c r="E162" t="inlineStr">
        <is>
          <t>ORUST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5715-2024</t>
        </is>
      </c>
      <c r="B163" s="1" t="n">
        <v>45334</v>
      </c>
      <c r="C163" s="1" t="n">
        <v>45585</v>
      </c>
      <c r="D163" t="inlineStr">
        <is>
          <t>VÄSTRA GÖTALANDS LÄN</t>
        </is>
      </c>
      <c r="E163" t="inlineStr">
        <is>
          <t>ORUST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5926-2024</t>
        </is>
      </c>
      <c r="B164" s="1" t="n">
        <v>45336</v>
      </c>
      <c r="C164" s="1" t="n">
        <v>45585</v>
      </c>
      <c r="D164" t="inlineStr">
        <is>
          <t>VÄSTRA GÖTALANDS LÄN</t>
        </is>
      </c>
      <c r="E164" t="inlineStr">
        <is>
          <t>ORUST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6485-2024</t>
        </is>
      </c>
      <c r="B165" s="1" t="n">
        <v>45339</v>
      </c>
      <c r="C165" s="1" t="n">
        <v>45585</v>
      </c>
      <c r="D165" t="inlineStr">
        <is>
          <t>VÄSTRA GÖTALANDS LÄN</t>
        </is>
      </c>
      <c r="E165" t="inlineStr">
        <is>
          <t>ORUST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6608-2024</t>
        </is>
      </c>
      <c r="B166" s="1" t="n">
        <v>45341</v>
      </c>
      <c r="C166" s="1" t="n">
        <v>45585</v>
      </c>
      <c r="D166" t="inlineStr">
        <is>
          <t>VÄSTRA GÖTALANDS LÄN</t>
        </is>
      </c>
      <c r="E166" t="inlineStr">
        <is>
          <t>ORUST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6986-2024</t>
        </is>
      </c>
      <c r="B167" s="1" t="n">
        <v>45343</v>
      </c>
      <c r="C167" s="1" t="n">
        <v>45585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6957-2024</t>
        </is>
      </c>
      <c r="B168" s="1" t="n">
        <v>45343</v>
      </c>
      <c r="C168" s="1" t="n">
        <v>45585</v>
      </c>
      <c r="D168" t="inlineStr">
        <is>
          <t>VÄSTRA GÖTALANDS LÄN</t>
        </is>
      </c>
      <c r="E168" t="inlineStr">
        <is>
          <t>ORUST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8149-2024</t>
        </is>
      </c>
      <c r="B169" s="1" t="n">
        <v>45351</v>
      </c>
      <c r="C169" s="1" t="n">
        <v>45585</v>
      </c>
      <c r="D169" t="inlineStr">
        <is>
          <t>VÄSTRA GÖTALANDS LÄN</t>
        </is>
      </c>
      <c r="E169" t="inlineStr">
        <is>
          <t>ORUST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9903-2024</t>
        </is>
      </c>
      <c r="B170" s="1" t="n">
        <v>45363</v>
      </c>
      <c r="C170" s="1" t="n">
        <v>45585</v>
      </c>
      <c r="D170" t="inlineStr">
        <is>
          <t>VÄSTRA GÖTALANDS LÄN</t>
        </is>
      </c>
      <c r="E170" t="inlineStr">
        <is>
          <t>ORUST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13222-2024</t>
        </is>
      </c>
      <c r="B171" s="1" t="n">
        <v>45386</v>
      </c>
      <c r="C171" s="1" t="n">
        <v>45585</v>
      </c>
      <c r="D171" t="inlineStr">
        <is>
          <t>VÄSTRA GÖTALANDS LÄN</t>
        </is>
      </c>
      <c r="E171" t="inlineStr">
        <is>
          <t>ORUST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14609-2024</t>
        </is>
      </c>
      <c r="B172" s="1" t="n">
        <v>45396</v>
      </c>
      <c r="C172" s="1" t="n">
        <v>45585</v>
      </c>
      <c r="D172" t="inlineStr">
        <is>
          <t>VÄSTRA GÖTALANDS LÄN</t>
        </is>
      </c>
      <c r="E172" t="inlineStr">
        <is>
          <t>ORUST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17710-2024</t>
        </is>
      </c>
      <c r="B173" s="1" t="n">
        <v>45418</v>
      </c>
      <c r="C173" s="1" t="n">
        <v>45585</v>
      </c>
      <c r="D173" t="inlineStr">
        <is>
          <t>VÄSTRA GÖTALANDS LÄN</t>
        </is>
      </c>
      <c r="E173" t="inlineStr">
        <is>
          <t>ORUST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22750-2024</t>
        </is>
      </c>
      <c r="B174" s="1" t="n">
        <v>45448</v>
      </c>
      <c r="C174" s="1" t="n">
        <v>45585</v>
      </c>
      <c r="D174" t="inlineStr">
        <is>
          <t>VÄSTRA GÖTALANDS LÄN</t>
        </is>
      </c>
      <c r="E174" t="inlineStr">
        <is>
          <t>ORUST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23046-2024</t>
        </is>
      </c>
      <c r="B175" s="1" t="n">
        <v>45450</v>
      </c>
      <c r="C175" s="1" t="n">
        <v>45585</v>
      </c>
      <c r="D175" t="inlineStr">
        <is>
          <t>VÄSTRA GÖTALANDS LÄN</t>
        </is>
      </c>
      <c r="E175" t="inlineStr">
        <is>
          <t>ORUST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23453-2024</t>
        </is>
      </c>
      <c r="B176" s="1" t="n">
        <v>45453</v>
      </c>
      <c r="C176" s="1" t="n">
        <v>45585</v>
      </c>
      <c r="D176" t="inlineStr">
        <is>
          <t>VÄSTRA GÖTALANDS LÄN</t>
        </is>
      </c>
      <c r="E176" t="inlineStr">
        <is>
          <t>ORUST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23682-2024</t>
        </is>
      </c>
      <c r="B177" s="1" t="n">
        <v>45454</v>
      </c>
      <c r="C177" s="1" t="n">
        <v>45585</v>
      </c>
      <c r="D177" t="inlineStr">
        <is>
          <t>VÄSTRA GÖTALANDS LÄN</t>
        </is>
      </c>
      <c r="E177" t="inlineStr">
        <is>
          <t>ORUST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25925-2024</t>
        </is>
      </c>
      <c r="B178" s="1" t="n">
        <v>45467</v>
      </c>
      <c r="C178" s="1" t="n">
        <v>45585</v>
      </c>
      <c r="D178" t="inlineStr">
        <is>
          <t>VÄSTRA GÖTALANDS LÄN</t>
        </is>
      </c>
      <c r="E178" t="inlineStr">
        <is>
          <t>ORUST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28109-2024</t>
        </is>
      </c>
      <c r="B179" s="1" t="n">
        <v>45476</v>
      </c>
      <c r="C179" s="1" t="n">
        <v>45585</v>
      </c>
      <c r="D179" t="inlineStr">
        <is>
          <t>VÄSTRA GÖTALANDS LÄN</t>
        </is>
      </c>
      <c r="E179" t="inlineStr">
        <is>
          <t>ORUST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28108-2024</t>
        </is>
      </c>
      <c r="B180" s="1" t="n">
        <v>45476</v>
      </c>
      <c r="C180" s="1" t="n">
        <v>45585</v>
      </c>
      <c r="D180" t="inlineStr">
        <is>
          <t>VÄSTRA GÖTALANDS LÄN</t>
        </is>
      </c>
      <c r="E180" t="inlineStr">
        <is>
          <t>ORUST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30440-2024</t>
        </is>
      </c>
      <c r="B181" s="1" t="n">
        <v>45491</v>
      </c>
      <c r="C181" s="1" t="n">
        <v>45585</v>
      </c>
      <c r="D181" t="inlineStr">
        <is>
          <t>VÄSTRA GÖTALANDS LÄN</t>
        </is>
      </c>
      <c r="E181" t="inlineStr">
        <is>
          <t>ORUST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30441-2024</t>
        </is>
      </c>
      <c r="B182" s="1" t="n">
        <v>45491</v>
      </c>
      <c r="C182" s="1" t="n">
        <v>45585</v>
      </c>
      <c r="D182" t="inlineStr">
        <is>
          <t>VÄSTRA GÖTALANDS LÄN</t>
        </is>
      </c>
      <c r="E182" t="inlineStr">
        <is>
          <t>ORUST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32175-2024</t>
        </is>
      </c>
      <c r="B183" s="1" t="n">
        <v>45511</v>
      </c>
      <c r="C183" s="1" t="n">
        <v>45585</v>
      </c>
      <c r="D183" t="inlineStr">
        <is>
          <t>VÄSTRA GÖTALANDS LÄN</t>
        </is>
      </c>
      <c r="E183" t="inlineStr">
        <is>
          <t>ORUST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34046-2024</t>
        </is>
      </c>
      <c r="B184" s="1" t="n">
        <v>45523</v>
      </c>
      <c r="C184" s="1" t="n">
        <v>45585</v>
      </c>
      <c r="D184" t="inlineStr">
        <is>
          <t>VÄSTRA GÖTALANDS LÄN</t>
        </is>
      </c>
      <c r="E184" t="inlineStr">
        <is>
          <t>ORUST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34056-2024</t>
        </is>
      </c>
      <c r="B185" s="1" t="n">
        <v>45523</v>
      </c>
      <c r="C185" s="1" t="n">
        <v>45585</v>
      </c>
      <c r="D185" t="inlineStr">
        <is>
          <t>VÄSTRA GÖTALANDS LÄN</t>
        </is>
      </c>
      <c r="E185" t="inlineStr">
        <is>
          <t>ORUST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34155-2024</t>
        </is>
      </c>
      <c r="B186" s="1" t="n">
        <v>45524</v>
      </c>
      <c r="C186" s="1" t="n">
        <v>45585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36404-2024</t>
        </is>
      </c>
      <c r="B187" s="1" t="n">
        <v>45535</v>
      </c>
      <c r="C187" s="1" t="n">
        <v>45585</v>
      </c>
      <c r="D187" t="inlineStr">
        <is>
          <t>VÄSTRA GÖTALANDS LÄN</t>
        </is>
      </c>
      <c r="E187" t="inlineStr">
        <is>
          <t>ORUST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37130-2024</t>
        </is>
      </c>
      <c r="B188" s="1" t="n">
        <v>45539</v>
      </c>
      <c r="C188" s="1" t="n">
        <v>45585</v>
      </c>
      <c r="D188" t="inlineStr">
        <is>
          <t>VÄSTRA GÖTALANDS LÄN</t>
        </is>
      </c>
      <c r="E188" t="inlineStr">
        <is>
          <t>ORUST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39206-2024</t>
        </is>
      </c>
      <c r="B189" s="1" t="n">
        <v>45548</v>
      </c>
      <c r="C189" s="1" t="n">
        <v>45585</v>
      </c>
      <c r="D189" t="inlineStr">
        <is>
          <t>VÄSTRA GÖTALANDS LÄN</t>
        </is>
      </c>
      <c r="E189" t="inlineStr">
        <is>
          <t>ORUST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39265-2024</t>
        </is>
      </c>
      <c r="B190" s="1" t="n">
        <v>45551</v>
      </c>
      <c r="C190" s="1" t="n">
        <v>45585</v>
      </c>
      <c r="D190" t="inlineStr">
        <is>
          <t>VÄSTRA GÖTALANDS LÄN</t>
        </is>
      </c>
      <c r="E190" t="inlineStr">
        <is>
          <t>ORUST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39273-2024</t>
        </is>
      </c>
      <c r="B191" s="1" t="n">
        <v>45551</v>
      </c>
      <c r="C191" s="1" t="n">
        <v>45585</v>
      </c>
      <c r="D191" t="inlineStr">
        <is>
          <t>VÄSTRA GÖTALANDS LÄN</t>
        </is>
      </c>
      <c r="E191" t="inlineStr">
        <is>
          <t>ORUST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40270-2024</t>
        </is>
      </c>
      <c r="B192" s="1" t="n">
        <v>45554</v>
      </c>
      <c r="C192" s="1" t="n">
        <v>45585</v>
      </c>
      <c r="D192" t="inlineStr">
        <is>
          <t>VÄSTRA GÖTALANDS LÄN</t>
        </is>
      </c>
      <c r="E192" t="inlineStr">
        <is>
          <t>ORUST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HYPERLINK("https://klasma.github.io/Logging_1421/knärot/A 40270-2024 karta knärot.png", "A 40270-2024")</f>
        <v/>
      </c>
      <c r="V192">
        <f>HYPERLINK("https://klasma.github.io/Logging_1421/klagomål/A 40270-2024 FSC-klagomål.docx", "A 40270-2024")</f>
        <v/>
      </c>
      <c r="W192">
        <f>HYPERLINK("https://klasma.github.io/Logging_1421/klagomålsmail/A 40270-2024 FSC-klagomål mail.docx", "A 40270-2024")</f>
        <v/>
      </c>
      <c r="X192">
        <f>HYPERLINK("https://klasma.github.io/Logging_1421/tillsyn/A 40270-2024 tillsynsbegäran.docx", "A 40270-2024")</f>
        <v/>
      </c>
      <c r="Y192">
        <f>HYPERLINK("https://klasma.github.io/Logging_1421/tillsynsmail/A 40270-2024 tillsynsbegäran mail.docx", "A 40270-2024")</f>
        <v/>
      </c>
    </row>
    <row r="193" ht="15" customHeight="1">
      <c r="A193" t="inlineStr">
        <is>
          <t>A 40722-2024</t>
        </is>
      </c>
      <c r="B193" s="1" t="n">
        <v>45558</v>
      </c>
      <c r="C193" s="1" t="n">
        <v>45585</v>
      </c>
      <c r="D193" t="inlineStr">
        <is>
          <t>VÄSTRA GÖTALANDS LÄN</t>
        </is>
      </c>
      <c r="E193" t="inlineStr">
        <is>
          <t>ORUST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40743-2024</t>
        </is>
      </c>
      <c r="B194" s="1" t="n">
        <v>45558</v>
      </c>
      <c r="C194" s="1" t="n">
        <v>45585</v>
      </c>
      <c r="D194" t="inlineStr">
        <is>
          <t>VÄSTRA GÖTALANDS LÄN</t>
        </is>
      </c>
      <c r="E194" t="inlineStr">
        <is>
          <t>ORUST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43227-2024</t>
        </is>
      </c>
      <c r="B195" s="1" t="n">
        <v>45567</v>
      </c>
      <c r="C195" s="1" t="n">
        <v>45585</v>
      </c>
      <c r="D195" t="inlineStr">
        <is>
          <t>VÄSTRA GÖTALANDS LÄN</t>
        </is>
      </c>
      <c r="E195" t="inlineStr">
        <is>
          <t>ORUST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43228-2024</t>
        </is>
      </c>
      <c r="B196" s="1" t="n">
        <v>45567</v>
      </c>
      <c r="C196" s="1" t="n">
        <v>45585</v>
      </c>
      <c r="D196" t="inlineStr">
        <is>
          <t>VÄSTRA GÖTALANDS LÄN</t>
        </is>
      </c>
      <c r="E196" t="inlineStr">
        <is>
          <t>ORUST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44417-2024</t>
        </is>
      </c>
      <c r="B197" s="1" t="n">
        <v>45573</v>
      </c>
      <c r="C197" s="1" t="n">
        <v>45585</v>
      </c>
      <c r="D197" t="inlineStr">
        <is>
          <t>VÄSTRA GÖTALANDS LÄN</t>
        </is>
      </c>
      <c r="E197" t="inlineStr">
        <is>
          <t>ORUST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44754-2024</t>
        </is>
      </c>
      <c r="B198" s="1" t="n">
        <v>45574</v>
      </c>
      <c r="C198" s="1" t="n">
        <v>45585</v>
      </c>
      <c r="D198" t="inlineStr">
        <is>
          <t>VÄSTRA GÖTALANDS LÄN</t>
        </is>
      </c>
      <c r="E198" t="inlineStr">
        <is>
          <t>ORUST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>
      <c r="A199" t="inlineStr">
        <is>
          <t>A 46267-2024</t>
        </is>
      </c>
      <c r="B199" s="1" t="n">
        <v>45581</v>
      </c>
      <c r="C199" s="1" t="n">
        <v>45585</v>
      </c>
      <c r="D199" t="inlineStr">
        <is>
          <t>VÄSTRA GÖTALANDS LÄN</t>
        </is>
      </c>
      <c r="E199" t="inlineStr">
        <is>
          <t>ORUST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2024-10-20T12:20:53Z</dcterms:created>
  <dcterms:modified xmlns:dcterms="http://purl.org/dc/terms/" xmlns:xsi="http://www.w3.org/2001/XMLSchema-instance" xsi:type="dcterms:W3CDTF">2024-10-20T12:20:53Z</dcterms:modified>
</cp:coreProperties>
</file>