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45364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45364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45364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45364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45364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45364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45364</v>
      </c>
      <c r="D8" t="inlineStr">
        <is>
          <t>VÄSTRA GÖTALANDS LÄN</t>
        </is>
      </c>
      <c r="E8" t="inlineStr">
        <is>
          <t>ORUST</t>
        </is>
      </c>
      <c r="G8" t="n">
        <v>17.3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45364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45364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5968-2019</t>
        </is>
      </c>
      <c r="B11" s="1" t="n">
        <v>43493</v>
      </c>
      <c r="C11" s="1" t="n">
        <v>45364</v>
      </c>
      <c r="D11" t="inlineStr">
        <is>
          <t>VÄSTRA GÖTALANDS LÄN</t>
        </is>
      </c>
      <c r="E11" t="inlineStr">
        <is>
          <t>ORUST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HYPERLINK("https://klasma.github.io/Logging_1421/artfynd/A 5968-2019 artfynd.xlsx", "A 5968-2019")</f>
        <v/>
      </c>
      <c r="T11">
        <f>HYPERLINK("https://klasma.github.io/Logging_1421/kartor/A 5968-2019 karta.png", "A 5968-2019")</f>
        <v/>
      </c>
      <c r="U11">
        <f>HYPERLINK("https://klasma.github.io/Logging_1421/knärot/A 5968-2019 karta knärot.png", "A 5968-2019")</f>
        <v/>
      </c>
      <c r="V11">
        <f>HYPERLINK("https://klasma.github.io/Logging_1421/klagomål/A 5968-2019 FSC-klagomål.docx", "A 5968-2019")</f>
        <v/>
      </c>
      <c r="W11">
        <f>HYPERLINK("https://klasma.github.io/Logging_1421/klagomålsmail/A 5968-2019 FSC-klagomål mail.docx", "A 5968-2019")</f>
        <v/>
      </c>
      <c r="X11">
        <f>HYPERLINK("https://klasma.github.io/Logging_1421/tillsyn/A 5968-2019 tillsynsbegäran.docx", "A 5968-2019")</f>
        <v/>
      </c>
      <c r="Y11">
        <f>HYPERLINK("https://klasma.github.io/Logging_1421/tillsynsmail/A 5968-2019 tillsynsbegäran mail.docx", "A 5968-2019")</f>
        <v/>
      </c>
    </row>
    <row r="12" ht="15" customHeight="1">
      <c r="A12" t="inlineStr">
        <is>
          <t>A 10583-2019</t>
        </is>
      </c>
      <c r="B12" s="1" t="n">
        <v>43514</v>
      </c>
      <c r="C12" s="1" t="n">
        <v>45364</v>
      </c>
      <c r="D12" t="inlineStr">
        <is>
          <t>VÄSTRA GÖTALANDS LÄN</t>
        </is>
      </c>
      <c r="E12" t="inlineStr">
        <is>
          <t>ORUST</t>
        </is>
      </c>
      <c r="G12" t="n">
        <v>7.6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HYPERLINK("https://klasma.github.io/Logging_1421/artfynd/A 10583-2019 artfynd.xlsx", "A 10583-2019")</f>
        <v/>
      </c>
      <c r="T12">
        <f>HYPERLINK("https://klasma.github.io/Logging_1421/kartor/A 10583-2019 karta.png", "A 10583-2019")</f>
        <v/>
      </c>
      <c r="V12">
        <f>HYPERLINK("https://klasma.github.io/Logging_1421/klagomål/A 10583-2019 FSC-klagomål.docx", "A 10583-2019")</f>
        <v/>
      </c>
      <c r="W12">
        <f>HYPERLINK("https://klasma.github.io/Logging_1421/klagomålsmail/A 10583-2019 FSC-klagomål mail.docx", "A 10583-2019")</f>
        <v/>
      </c>
      <c r="X12">
        <f>HYPERLINK("https://klasma.github.io/Logging_1421/tillsyn/A 10583-2019 tillsynsbegäran.docx", "A 10583-2019")</f>
        <v/>
      </c>
      <c r="Y12">
        <f>HYPERLINK("https://klasma.github.io/Logging_1421/tillsynsmail/A 10583-2019 tillsynsbegäran mail.docx", "A 10583-2019")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45364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45364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45364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45364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9198-2019</t>
        </is>
      </c>
      <c r="B17" s="1" t="n">
        <v>43506</v>
      </c>
      <c r="C17" s="1" t="n">
        <v>45364</v>
      </c>
      <c r="D17" t="inlineStr">
        <is>
          <t>VÄSTRA GÖTALANDS LÄN</t>
        </is>
      </c>
      <c r="E17" t="inlineStr">
        <is>
          <t>ORUST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HYPERLINK("https://klasma.github.io/Logging_1421/artfynd/A 9198-2019 artfynd.xlsx", "A 9198-2019")</f>
        <v/>
      </c>
      <c r="T17">
        <f>HYPERLINK("https://klasma.github.io/Logging_1421/kartor/A 9198-2019 karta.png", "A 9198-2019")</f>
        <v/>
      </c>
      <c r="V17">
        <f>HYPERLINK("https://klasma.github.io/Logging_1421/klagomål/A 9198-2019 FSC-klagomål.docx", "A 9198-2019")</f>
        <v/>
      </c>
      <c r="W17">
        <f>HYPERLINK("https://klasma.github.io/Logging_1421/klagomålsmail/A 9198-2019 FSC-klagomål mail.docx", "A 9198-2019")</f>
        <v/>
      </c>
      <c r="X17">
        <f>HYPERLINK("https://klasma.github.io/Logging_1421/tillsyn/A 9198-2019 tillsynsbegäran.docx", "A 9198-2019")</f>
        <v/>
      </c>
      <c r="Y17">
        <f>HYPERLINK("https://klasma.github.io/Logging_1421/tillsynsmail/A 9198-2019 tillsynsbegäran mail.docx", "A 9198-2019")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45364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45364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45364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45364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45364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45364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45364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45364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45364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45364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45364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45364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45364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45364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45364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45364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45364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45364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45364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45364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45364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45364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45364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45364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45364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45364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45364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45364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45364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45364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45364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45364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45364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45364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45364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45364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45364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45364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45364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45364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45364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45364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45364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45364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45364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45364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45364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45364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45364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45364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45364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45364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45364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45364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45364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45364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45364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45364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45364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45364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45364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45364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45364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45364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45364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45364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45364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45364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45364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45364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45364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45364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45364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45364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45364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45364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45364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45364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45364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45364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45364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45364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45364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45364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45364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45364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45364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45364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45364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45364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45364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45364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45364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45364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45364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45364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45364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45364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45364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45364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45364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45364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45364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45364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45364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45364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45364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45364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45364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45364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45364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45364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45364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45364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45364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45364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45364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45364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45364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45364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45364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45364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45364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45364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45364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45364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45364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45364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45364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45364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45364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45364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45364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45364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45364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45364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45364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45364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45364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45364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45364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45364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45364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45364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45364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45364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45364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45364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45364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45364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45364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45364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45364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45364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45364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45364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45364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45364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45364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45364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45364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45364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45364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5713-2024</t>
        </is>
      </c>
      <c r="B181" s="1" t="n">
        <v>45334</v>
      </c>
      <c r="C181" s="1" t="n">
        <v>45364</v>
      </c>
      <c r="D181" t="inlineStr">
        <is>
          <t>VÄSTRA GÖTALANDS LÄN</t>
        </is>
      </c>
      <c r="E181" t="inlineStr">
        <is>
          <t>ORUST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5714-2024</t>
        </is>
      </c>
      <c r="B182" s="1" t="n">
        <v>45334</v>
      </c>
      <c r="C182" s="1" t="n">
        <v>45364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45364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5617-2024</t>
        </is>
      </c>
      <c r="B184" s="1" t="n">
        <v>45334</v>
      </c>
      <c r="C184" s="1" t="n">
        <v>45364</v>
      </c>
      <c r="D184" t="inlineStr">
        <is>
          <t>VÄSTRA GÖTALANDS LÄN</t>
        </is>
      </c>
      <c r="E184" t="inlineStr">
        <is>
          <t>ORUST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HYPERLINK("https://klasma.github.io/Logging_1421/knärot/A 5617-2024 karta knärot.png", "A 5617-2024")</f>
        <v/>
      </c>
      <c r="V184">
        <f>HYPERLINK("https://klasma.github.io/Logging_1421/klagomål/A 5617-2024 FSC-klagomål.docx", "A 5617-2024")</f>
        <v/>
      </c>
      <c r="W184">
        <f>HYPERLINK("https://klasma.github.io/Logging_1421/klagomålsmail/A 5617-2024 FSC-klagomål mail.docx", "A 5617-2024")</f>
        <v/>
      </c>
      <c r="X184">
        <f>HYPERLINK("https://klasma.github.io/Logging_1421/tillsyn/A 5617-2024 tillsynsbegäran.docx", "A 5617-2024")</f>
        <v/>
      </c>
      <c r="Y184">
        <f>HYPERLINK("https://klasma.github.io/Logging_1421/tillsynsmail/A 5617-2024 tillsynsbegäran mail.docx", "A 5617-2024")</f>
        <v/>
      </c>
    </row>
    <row r="185" ht="15" customHeight="1">
      <c r="A185" t="inlineStr">
        <is>
          <t>A 5926-2024</t>
        </is>
      </c>
      <c r="B185" s="1" t="n">
        <v>45336</v>
      </c>
      <c r="C185" s="1" t="n">
        <v>45364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45364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45364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45364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45364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8149-2024</t>
        </is>
      </c>
      <c r="B190" s="1" t="n">
        <v>45351</v>
      </c>
      <c r="C190" s="1" t="n">
        <v>45364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9903-2024</t>
        </is>
      </c>
      <c r="B191" s="1" t="n">
        <v>45363</v>
      </c>
      <c r="C191" s="1" t="n">
        <v>45364</v>
      </c>
      <c r="D191" t="inlineStr">
        <is>
          <t>VÄSTRA GÖTALANDS LÄN</t>
        </is>
      </c>
      <c r="E191" t="inlineStr">
        <is>
          <t>ORUST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2024-03-13T13:55:41Z</dcterms:created>
  <dcterms:modified xmlns:dcterms="http://purl.org/dc/terms/" xmlns:xsi="http://www.w3.org/2001/XMLSchema-instance" xsi:type="dcterms:W3CDTF">2024-03-13T13:55:41Z</dcterms:modified>
</cp:coreProperties>
</file>