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46132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46132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46132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46132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46132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46132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46132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46132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46132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46132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46132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46132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46132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46132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46132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46132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46132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46132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46132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46132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46132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46132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46132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46132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46132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46132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46132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46132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46132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46132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46132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46132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46132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46132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46132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46132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46132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46132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46132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46132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13243-2023</t>
        </is>
      </c>
      <c r="B49" s="1" t="n">
        <v>45002</v>
      </c>
      <c r="C49" s="1" t="n">
        <v>46132</v>
      </c>
      <c r="D49" t="inlineStr">
        <is>
          <t>VÄSTRA GÖTALANDS LÄN</t>
        </is>
      </c>
      <c r="E49" t="inlineStr">
        <is>
          <t>ORUST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46132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1288-2025</t>
        </is>
      </c>
      <c r="B51" s="1" t="n">
        <v>45667.50971064815</v>
      </c>
      <c r="C51" s="1" t="n">
        <v>46132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46132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46132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45088-2021</t>
        </is>
      </c>
      <c r="B54" s="1" t="n">
        <v>44439.391875</v>
      </c>
      <c r="C54" s="1" t="n">
        <v>46132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9937-2025</t>
        </is>
      </c>
      <c r="B55" s="1" t="n">
        <v>45718.64129629629</v>
      </c>
      <c r="C55" s="1" t="n">
        <v>46132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46132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45736.48755787037</v>
      </c>
      <c r="C57" s="1" t="n">
        <v>46132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45736.51413194444</v>
      </c>
      <c r="C58" s="1" t="n">
        <v>46132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46132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46132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23682-2024</t>
        </is>
      </c>
      <c r="B61" s="1" t="n">
        <v>45454.62754629629</v>
      </c>
      <c r="C61" s="1" t="n">
        <v>46132</v>
      </c>
      <c r="D61" t="inlineStr">
        <is>
          <t>VÄSTRA GÖTALANDS LÄN</t>
        </is>
      </c>
      <c r="E61" t="inlineStr">
        <is>
          <t>ORUST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46132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23254-2025</t>
        </is>
      </c>
      <c r="B63" s="1" t="n">
        <v>45791.5340162037</v>
      </c>
      <c r="C63" s="1" t="n">
        <v>46132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34046-2024</t>
        </is>
      </c>
      <c r="B64" s="1" t="n">
        <v>45523.60449074074</v>
      </c>
      <c r="C64" s="1" t="n">
        <v>46132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46132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40442-2025</t>
        </is>
      </c>
      <c r="B66" s="1" t="n">
        <v>45895</v>
      </c>
      <c r="C66" s="1" t="n">
        <v>46132</v>
      </c>
      <c r="D66" t="inlineStr">
        <is>
          <t>VÄSTRA GÖTALANDS LÄN</t>
        </is>
      </c>
      <c r="E66" t="inlineStr">
        <is>
          <t>ORUST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46132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46132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28109-2024</t>
        </is>
      </c>
      <c r="B69" s="1" t="n">
        <v>45476.63284722222</v>
      </c>
      <c r="C69" s="1" t="n">
        <v>46132</v>
      </c>
      <c r="D69" t="inlineStr">
        <is>
          <t>VÄSTRA GÖTALANDS LÄN</t>
        </is>
      </c>
      <c r="E69" t="inlineStr">
        <is>
          <t>ORUST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46132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45896.85623842593</v>
      </c>
      <c r="C71" s="1" t="n">
        <v>46132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46132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46132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41688-2025</t>
        </is>
      </c>
      <c r="B74" s="1" t="n">
        <v>45902.39888888889</v>
      </c>
      <c r="C74" s="1" t="n">
        <v>46132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24321-2025</t>
        </is>
      </c>
      <c r="B75" s="1" t="n">
        <v>45797</v>
      </c>
      <c r="C75" s="1" t="n">
        <v>46132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55777-2022</t>
        </is>
      </c>
      <c r="B76" s="1" t="n">
        <v>44888.61921296296</v>
      </c>
      <c r="C76" s="1" t="n">
        <v>46132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46132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46132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49822-2022</t>
        </is>
      </c>
      <c r="B79" s="1" t="n">
        <v>44862</v>
      </c>
      <c r="C79" s="1" t="n">
        <v>46132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57878-2022</t>
        </is>
      </c>
      <c r="B80" s="1" t="n">
        <v>44899.875625</v>
      </c>
      <c r="C80" s="1" t="n">
        <v>46132</v>
      </c>
      <c r="D80" t="inlineStr">
        <is>
          <t>VÄSTRA GÖTALANDS LÄN</t>
        </is>
      </c>
      <c r="E80" t="inlineStr">
        <is>
          <t>ORUST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46132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49115-2024</t>
        </is>
      </c>
      <c r="B82" s="1" t="n">
        <v>45594.65954861111</v>
      </c>
      <c r="C82" s="1" t="n">
        <v>46132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3750-2022</t>
        </is>
      </c>
      <c r="B83" s="1" t="n">
        <v>44586.71618055556</v>
      </c>
      <c r="C83" s="1" t="n">
        <v>46132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46132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46132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46132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27277-2025</t>
        </is>
      </c>
      <c r="B87" s="1" t="n">
        <v>45812.52674768519</v>
      </c>
      <c r="C87" s="1" t="n">
        <v>46132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54128-2025</t>
        </is>
      </c>
      <c r="B88" s="1" t="n">
        <v>45964.45993055555</v>
      </c>
      <c r="C88" s="1" t="n">
        <v>46132</v>
      </c>
      <c r="D88" t="inlineStr">
        <is>
          <t>VÄSTRA GÖTALANDS LÄN</t>
        </is>
      </c>
      <c r="E88" t="inlineStr">
        <is>
          <t>ORUST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46132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27555-2025</t>
        </is>
      </c>
      <c r="B90" s="1" t="n">
        <v>45813.47424768518</v>
      </c>
      <c r="C90" s="1" t="n">
        <v>46132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54279-2024</t>
        </is>
      </c>
      <c r="B91" s="1" t="n">
        <v>45616.855</v>
      </c>
      <c r="C91" s="1" t="n">
        <v>46132</v>
      </c>
      <c r="D91" t="inlineStr">
        <is>
          <t>VÄSTRA GÖTALANDS LÄN</t>
        </is>
      </c>
      <c r="E91" t="inlineStr">
        <is>
          <t>ORUST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40743-2024</t>
        </is>
      </c>
      <c r="B92" s="1" t="n">
        <v>45558.45</v>
      </c>
      <c r="C92" s="1" t="n">
        <v>46132</v>
      </c>
      <c r="D92" t="inlineStr">
        <is>
          <t>VÄSTRA GÖTALANDS LÄN</t>
        </is>
      </c>
      <c r="E92" t="inlineStr">
        <is>
          <t>ORUST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49617-2023</t>
        </is>
      </c>
      <c r="B93" s="1" t="n">
        <v>45211</v>
      </c>
      <c r="C93" s="1" t="n">
        <v>46132</v>
      </c>
      <c r="D93" t="inlineStr">
        <is>
          <t>VÄSTRA GÖTALANDS LÄN</t>
        </is>
      </c>
      <c r="E93" t="inlineStr">
        <is>
          <t>ORUST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47405-2025</t>
        </is>
      </c>
      <c r="B94" s="1" t="n">
        <v>45930.61258101852</v>
      </c>
      <c r="C94" s="1" t="n">
        <v>46132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46132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20131-2025</t>
        </is>
      </c>
      <c r="B96" s="1" t="n">
        <v>45772.50918981482</v>
      </c>
      <c r="C96" s="1" t="n">
        <v>46132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47630-2025</t>
        </is>
      </c>
      <c r="B97" s="1" t="n">
        <v>45931.48855324074</v>
      </c>
      <c r="C97" s="1" t="n">
        <v>46132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46132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46132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46121-2025</t>
        </is>
      </c>
      <c r="B100" s="1" t="n">
        <v>45924</v>
      </c>
      <c r="C100" s="1" t="n">
        <v>46132</v>
      </c>
      <c r="D100" t="inlineStr">
        <is>
          <t>VÄSTRA GÖTALANDS LÄN</t>
        </is>
      </c>
      <c r="E100" t="inlineStr">
        <is>
          <t>ORUST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31617-2025</t>
        </is>
      </c>
      <c r="B101" s="1" t="n">
        <v>45833</v>
      </c>
      <c r="C101" s="1" t="n">
        <v>46132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45934.58502314815</v>
      </c>
      <c r="C102" s="1" t="n">
        <v>46132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49365-2025</t>
        </is>
      </c>
      <c r="B103" s="1" t="n">
        <v>45938.62341435185</v>
      </c>
      <c r="C103" s="1" t="n">
        <v>46132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46132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46132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33300-2025</t>
        </is>
      </c>
      <c r="B106" s="1" t="n">
        <v>45840.93423611111</v>
      </c>
      <c r="C106" s="1" t="n">
        <v>46132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33295-2025</t>
        </is>
      </c>
      <c r="B107" s="1" t="n">
        <v>45840.92070601852</v>
      </c>
      <c r="C107" s="1" t="n">
        <v>46132</v>
      </c>
      <c r="D107" t="inlineStr">
        <is>
          <t>VÄSTRA GÖTALANDS LÄN</t>
        </is>
      </c>
      <c r="E107" t="inlineStr">
        <is>
          <t>ORUST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33296-2025</t>
        </is>
      </c>
      <c r="B108" s="1" t="n">
        <v>45840.92538194444</v>
      </c>
      <c r="C108" s="1" t="n">
        <v>46132</v>
      </c>
      <c r="D108" t="inlineStr">
        <is>
          <t>VÄSTRA GÖTALANDS LÄN</t>
        </is>
      </c>
      <c r="E108" t="inlineStr">
        <is>
          <t>ORUST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33299-2025</t>
        </is>
      </c>
      <c r="B109" s="1" t="n">
        <v>45840.93229166666</v>
      </c>
      <c r="C109" s="1" t="n">
        <v>46132</v>
      </c>
      <c r="D109" t="inlineStr">
        <is>
          <t>VÄSTRA GÖTALANDS LÄN</t>
        </is>
      </c>
      <c r="E109" t="inlineStr">
        <is>
          <t>ORUST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34354-2023</t>
        </is>
      </c>
      <c r="B110" s="1" t="n">
        <v>45139</v>
      </c>
      <c r="C110" s="1" t="n">
        <v>46132</v>
      </c>
      <c r="D110" t="inlineStr">
        <is>
          <t>VÄSTRA GÖTALANDS LÄN</t>
        </is>
      </c>
      <c r="E110" t="inlineStr">
        <is>
          <t>ORUST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34500-2025</t>
        </is>
      </c>
      <c r="B111" s="1" t="n">
        <v>45847.43075231482</v>
      </c>
      <c r="C111" s="1" t="n">
        <v>46132</v>
      </c>
      <c r="D111" t="inlineStr">
        <is>
          <t>VÄSTRA GÖTALANDS LÄN</t>
        </is>
      </c>
      <c r="E111" t="inlineStr">
        <is>
          <t>ORUST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46132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34502-2025</t>
        </is>
      </c>
      <c r="B113" s="1" t="n">
        <v>45847.43163194445</v>
      </c>
      <c r="C113" s="1" t="n">
        <v>46132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46132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2213-2025</t>
        </is>
      </c>
      <c r="B115" s="1" t="n">
        <v>45673.4359837963</v>
      </c>
      <c r="C115" s="1" t="n">
        <v>46132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38322-2023</t>
        </is>
      </c>
      <c r="B116" s="1" t="n">
        <v>45161.73658564815</v>
      </c>
      <c r="C116" s="1" t="n">
        <v>46132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57445-2024</t>
        </is>
      </c>
      <c r="B117" s="1" t="n">
        <v>45629.92240740741</v>
      </c>
      <c r="C117" s="1" t="n">
        <v>46132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46132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36722-2025</t>
        </is>
      </c>
      <c r="B119" s="1" t="n">
        <v>45872</v>
      </c>
      <c r="C119" s="1" t="n">
        <v>46132</v>
      </c>
      <c r="D119" t="inlineStr">
        <is>
          <t>VÄSTRA GÖTALANDS LÄN</t>
        </is>
      </c>
      <c r="E119" t="inlineStr">
        <is>
          <t>ORUST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36719-2025</t>
        </is>
      </c>
      <c r="B120" s="1" t="n">
        <v>45872</v>
      </c>
      <c r="C120" s="1" t="n">
        <v>46132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50532-2024</t>
        </is>
      </c>
      <c r="B121" s="1" t="n">
        <v>45601.56552083333</v>
      </c>
      <c r="C121" s="1" t="n">
        <v>46132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58852-2025</t>
        </is>
      </c>
      <c r="B122" s="1" t="n">
        <v>45987.40355324074</v>
      </c>
      <c r="C122" s="1" t="n">
        <v>46132</v>
      </c>
      <c r="D122" t="inlineStr">
        <is>
          <t>VÄSTRA GÖTALANDS LÄN</t>
        </is>
      </c>
      <c r="E122" t="inlineStr">
        <is>
          <t>ORUST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58853-2025</t>
        </is>
      </c>
      <c r="B123" s="1" t="n">
        <v>45987.40476851852</v>
      </c>
      <c r="C123" s="1" t="n">
        <v>46132</v>
      </c>
      <c r="D123" t="inlineStr">
        <is>
          <t>VÄSTRA GÖTALANDS LÄN</t>
        </is>
      </c>
      <c r="E123" t="inlineStr">
        <is>
          <t>ORUST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59834-2025</t>
        </is>
      </c>
      <c r="B124" s="1" t="n">
        <v>45992.66811342593</v>
      </c>
      <c r="C124" s="1" t="n">
        <v>46132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14802-2023</t>
        </is>
      </c>
      <c r="B125" s="1" t="n">
        <v>45014</v>
      </c>
      <c r="C125" s="1" t="n">
        <v>46132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61319-2025</t>
        </is>
      </c>
      <c r="B126" s="1" t="n">
        <v>46000.94983796297</v>
      </c>
      <c r="C126" s="1" t="n">
        <v>46132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61320-2025</t>
        </is>
      </c>
      <c r="B127" s="1" t="n">
        <v>46000.95591435185</v>
      </c>
      <c r="C127" s="1" t="n">
        <v>46132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46132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46132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2435-2026</t>
        </is>
      </c>
      <c r="B130" s="1" t="n">
        <v>46036.90065972223</v>
      </c>
      <c r="C130" s="1" t="n">
        <v>46132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46132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46132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46132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4114-2026</t>
        </is>
      </c>
      <c r="B134" s="1" t="n">
        <v>46044.60348379629</v>
      </c>
      <c r="C134" s="1" t="n">
        <v>46132</v>
      </c>
      <c r="D134" t="inlineStr">
        <is>
          <t>VÄSTRA GÖTALANDS LÄN</t>
        </is>
      </c>
      <c r="E134" t="inlineStr">
        <is>
          <t>ORUST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2632-2024</t>
        </is>
      </c>
      <c r="B135" s="1" t="n">
        <v>45313.97175925926</v>
      </c>
      <c r="C135" s="1" t="n">
        <v>46132</v>
      </c>
      <c r="D135" t="inlineStr">
        <is>
          <t>VÄSTRA GÖTALANDS LÄN</t>
        </is>
      </c>
      <c r="E135" t="inlineStr">
        <is>
          <t>ORUST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1663-2024</t>
        </is>
      </c>
      <c r="B136" s="1" t="n">
        <v>45306</v>
      </c>
      <c r="C136" s="1" t="n">
        <v>46132</v>
      </c>
      <c r="D136" t="inlineStr">
        <is>
          <t>VÄSTRA GÖTALANDS LÄN</t>
        </is>
      </c>
      <c r="E136" t="inlineStr">
        <is>
          <t>ORUST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32175-2024</t>
        </is>
      </c>
      <c r="B137" s="1" t="n">
        <v>45511.61238425926</v>
      </c>
      <c r="C137" s="1" t="n">
        <v>46132</v>
      </c>
      <c r="D137" t="inlineStr">
        <is>
          <t>VÄSTRA GÖTALANDS LÄN</t>
        </is>
      </c>
      <c r="E137" t="inlineStr">
        <is>
          <t>ORUST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63626-2023</t>
        </is>
      </c>
      <c r="B138" s="1" t="n">
        <v>45275</v>
      </c>
      <c r="C138" s="1" t="n">
        <v>46132</v>
      </c>
      <c r="D138" t="inlineStr">
        <is>
          <t>VÄSTRA GÖTALANDS LÄN</t>
        </is>
      </c>
      <c r="E138" t="inlineStr">
        <is>
          <t>ORUST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12722-2026</t>
        </is>
      </c>
      <c r="B139" s="1" t="n">
        <v>46091.60934027778</v>
      </c>
      <c r="C139" s="1" t="n">
        <v>46132</v>
      </c>
      <c r="D139" t="inlineStr">
        <is>
          <t>VÄSTRA GÖTALANDS LÄN</t>
        </is>
      </c>
      <c r="E139" t="inlineStr">
        <is>
          <t>ORUST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12722-2026 karta knärot.png", "A 12722-2026")</f>
        <v/>
      </c>
      <c r="V139">
        <f>HYPERLINK("https://klasma.github.io/Logging_1421/klagomål/A 12722-2026 FSC-klagomål.docx", "A 12722-2026")</f>
        <v/>
      </c>
      <c r="W139">
        <f>HYPERLINK("https://klasma.github.io/Logging_1421/klagomålsmail/A 12722-2026 FSC-klagomål mail.docx", "A 12722-2026")</f>
        <v/>
      </c>
      <c r="X139">
        <f>HYPERLINK("https://klasma.github.io/Logging_1421/tillsyn/A 12722-2026 tillsynsbegäran.docx", "A 12722-2026")</f>
        <v/>
      </c>
      <c r="Y139">
        <f>HYPERLINK("https://klasma.github.io/Logging_1421/tillsynsmail/A 12722-2026 tillsynsbegäran mail.docx", "A 12722-2026")</f>
        <v/>
      </c>
    </row>
    <row r="140" ht="15" customHeight="1">
      <c r="A140" t="inlineStr">
        <is>
          <t>A 37130-2024</t>
        </is>
      </c>
      <c r="B140" s="1" t="n">
        <v>45539.57060185185</v>
      </c>
      <c r="C140" s="1" t="n">
        <v>46132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23046-2024</t>
        </is>
      </c>
      <c r="B141" s="1" t="n">
        <v>45450.4240625</v>
      </c>
      <c r="C141" s="1" t="n">
        <v>46132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46056.69936342593</v>
      </c>
      <c r="C142" s="1" t="n">
        <v>46132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5617-2024</t>
        </is>
      </c>
      <c r="B143" s="1" t="n">
        <v>45334.58319444444</v>
      </c>
      <c r="C143" s="1" t="n">
        <v>46132</v>
      </c>
      <c r="D143" t="inlineStr">
        <is>
          <t>VÄSTRA GÖTALANDS LÄN</t>
        </is>
      </c>
      <c r="E143" t="inlineStr">
        <is>
          <t>ORUST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HYPERLINK("https://klasma.github.io/Logging_1421/knärot/A 5617-2024 karta knärot.png", "A 5617-2024")</f>
        <v/>
      </c>
      <c r="V143">
        <f>HYPERLINK("https://klasma.github.io/Logging_1421/klagomål/A 5617-2024 FSC-klagomål.docx", "A 5617-2024")</f>
        <v/>
      </c>
      <c r="W143">
        <f>HYPERLINK("https://klasma.github.io/Logging_1421/klagomålsmail/A 5617-2024 FSC-klagomål mail.docx", "A 5617-2024")</f>
        <v/>
      </c>
      <c r="X143">
        <f>HYPERLINK("https://klasma.github.io/Logging_1421/tillsyn/A 5617-2024 tillsynsbegäran.docx", "A 5617-2024")</f>
        <v/>
      </c>
      <c r="Y143">
        <f>HYPERLINK("https://klasma.github.io/Logging_1421/tillsynsmail/A 5617-2024 tillsynsbegäran mail.docx", "A 5617-2024")</f>
        <v/>
      </c>
    </row>
    <row r="144" ht="15" customHeight="1">
      <c r="A144" t="inlineStr">
        <is>
          <t>A 5926-2024</t>
        </is>
      </c>
      <c r="B144" s="1" t="n">
        <v>45336</v>
      </c>
      <c r="C144" s="1" t="n">
        <v>46132</v>
      </c>
      <c r="D144" t="inlineStr">
        <is>
          <t>VÄSTRA GÖTALANDS LÄN</t>
        </is>
      </c>
      <c r="E144" t="inlineStr">
        <is>
          <t>ORUST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44233-2023</t>
        </is>
      </c>
      <c r="B145" s="1" t="n">
        <v>45183</v>
      </c>
      <c r="C145" s="1" t="n">
        <v>46132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HYPERLINK("https://klasma.github.io/Logging_1421/knärot/A 44233-2023 karta knärot.png", "A 44233-2023")</f>
        <v/>
      </c>
      <c r="V145">
        <f>HYPERLINK("https://klasma.github.io/Logging_1421/klagomål/A 44233-2023 FSC-klagomål.docx", "A 44233-2023")</f>
        <v/>
      </c>
      <c r="W145">
        <f>HYPERLINK("https://klasma.github.io/Logging_1421/klagomålsmail/A 44233-2023 FSC-klagomål mail.docx", "A 44233-2023")</f>
        <v/>
      </c>
      <c r="X145">
        <f>HYPERLINK("https://klasma.github.io/Logging_1421/tillsyn/A 44233-2023 tillsynsbegäran.docx", "A 44233-2023")</f>
        <v/>
      </c>
      <c r="Y145">
        <f>HYPERLINK("https://klasma.github.io/Logging_1421/tillsynsmail/A 44233-2023 tillsynsbegäran mail.docx", "A 44233-2023")</f>
        <v/>
      </c>
    </row>
    <row r="146" ht="15" customHeight="1">
      <c r="A146" t="inlineStr">
        <is>
          <t>A 20819-2023</t>
        </is>
      </c>
      <c r="B146" s="1" t="n">
        <v>45058</v>
      </c>
      <c r="C146" s="1" t="n">
        <v>46132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46065.42722222222</v>
      </c>
      <c r="C147" s="1" t="n">
        <v>46132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46132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46070.68266203703</v>
      </c>
      <c r="C149" s="1" t="n">
        <v>46132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9194-2026</t>
        </is>
      </c>
      <c r="B150" s="1" t="n">
        <v>46070.39208333333</v>
      </c>
      <c r="C150" s="1" t="n">
        <v>46132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46132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10118-2026</t>
        </is>
      </c>
      <c r="B152" s="1" t="n">
        <v>46075.66628472223</v>
      </c>
      <c r="C152" s="1" t="n">
        <v>46132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18954-2025</t>
        </is>
      </c>
      <c r="B153" s="1" t="n">
        <v>45764.51478009259</v>
      </c>
      <c r="C153" s="1" t="n">
        <v>46132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17426-2026</t>
        </is>
      </c>
      <c r="B154" s="1" t="n">
        <v>46120.36685185185</v>
      </c>
      <c r="C154" s="1" t="n">
        <v>46132</v>
      </c>
      <c r="D154" t="inlineStr">
        <is>
          <t>VÄSTRA GÖTALANDS LÄN</t>
        </is>
      </c>
      <c r="E154" t="inlineStr">
        <is>
          <t>ORUST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34217-2022</t>
        </is>
      </c>
      <c r="B155" s="1" t="n">
        <v>44791</v>
      </c>
      <c r="C155" s="1" t="n">
        <v>46132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17725-2026</t>
        </is>
      </c>
      <c r="B156" s="1" t="n">
        <v>46121.82144675926</v>
      </c>
      <c r="C156" s="1" t="n">
        <v>46132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17428-2026</t>
        </is>
      </c>
      <c r="B157" s="1" t="n">
        <v>46120.37975694444</v>
      </c>
      <c r="C157" s="1" t="n">
        <v>46132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46132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37000-2023</t>
        </is>
      </c>
      <c r="B159" s="1" t="n">
        <v>45155.26925925926</v>
      </c>
      <c r="C159" s="1" t="n">
        <v>46132</v>
      </c>
      <c r="D159" t="inlineStr">
        <is>
          <t>VÄSTRA GÖTALANDS LÄN</t>
        </is>
      </c>
      <c r="E159" t="inlineStr">
        <is>
          <t>ORUST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18431-2026</t>
        </is>
      </c>
      <c r="B160" s="1" t="n">
        <v>46127.33091435185</v>
      </c>
      <c r="C160" s="1" t="n">
        <v>46132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18618-2026</t>
        </is>
      </c>
      <c r="B161" s="1" t="n">
        <v>46127.69243055556</v>
      </c>
      <c r="C161" s="1" t="n">
        <v>46132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12087-2026</t>
        </is>
      </c>
      <c r="B162" s="1" t="n">
        <v>46086.45980324074</v>
      </c>
      <c r="C162" s="1" t="n">
        <v>46132</v>
      </c>
      <c r="D162" t="inlineStr">
        <is>
          <t>VÄSTRA GÖTALANDS LÄN</t>
        </is>
      </c>
      <c r="E162" t="inlineStr">
        <is>
          <t>ORUST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18763-2026</t>
        </is>
      </c>
      <c r="B163" s="1" t="n">
        <v>46128.56503472223</v>
      </c>
      <c r="C163" s="1" t="n">
        <v>46132</v>
      </c>
      <c r="D163" t="inlineStr">
        <is>
          <t>VÄSTRA GÖTALANDS LÄN</t>
        </is>
      </c>
      <c r="E163" t="inlineStr">
        <is>
          <t>ORUST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46132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46132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46132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46132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46132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46132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57877-2022</t>
        </is>
      </c>
      <c r="B170" s="1" t="n">
        <v>44899.8749537037</v>
      </c>
      <c r="C170" s="1" t="n">
        <v>46132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13378-2023</t>
        </is>
      </c>
      <c r="B171" s="1" t="n">
        <v>45005.50077546296</v>
      </c>
      <c r="C171" s="1" t="n">
        <v>46132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46132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25925-2024</t>
        </is>
      </c>
      <c r="B173" s="1" t="n">
        <v>45467.6122337963</v>
      </c>
      <c r="C173" s="1" t="n">
        <v>46132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37522-2024</t>
        </is>
      </c>
      <c r="B174" s="1" t="n">
        <v>45541</v>
      </c>
      <c r="C174" s="1" t="n">
        <v>46132</v>
      </c>
      <c r="D174" t="inlineStr">
        <is>
          <t>VÄSTRA GÖTALANDS LÄN</t>
        </is>
      </c>
      <c r="E174" t="inlineStr">
        <is>
          <t>ORUST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34155-2024</t>
        </is>
      </c>
      <c r="B175" s="1" t="n">
        <v>45524.3860300926</v>
      </c>
      <c r="C175" s="1" t="n">
        <v>46132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18791-2023</t>
        </is>
      </c>
      <c r="B176" s="1" t="n">
        <v>45044</v>
      </c>
      <c r="C176" s="1" t="n">
        <v>46132</v>
      </c>
      <c r="D176" t="inlineStr">
        <is>
          <t>VÄSTRA GÖTALANDS LÄN</t>
        </is>
      </c>
      <c r="E176" t="inlineStr">
        <is>
          <t>ORUST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42712-2023</t>
        </is>
      </c>
      <c r="B177" s="1" t="n">
        <v>45181.61869212963</v>
      </c>
      <c r="C177" s="1" t="n">
        <v>46132</v>
      </c>
      <c r="D177" t="inlineStr">
        <is>
          <t>VÄSTRA GÖTALANDS LÄN</t>
        </is>
      </c>
      <c r="E177" t="inlineStr">
        <is>
          <t>ORUST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71890-2021</t>
        </is>
      </c>
      <c r="B178" s="1" t="n">
        <v>44543.78116898148</v>
      </c>
      <c r="C178" s="1" t="n">
        <v>46132</v>
      </c>
      <c r="D178" t="inlineStr">
        <is>
          <t>VÄSTRA GÖTALANDS LÄN</t>
        </is>
      </c>
      <c r="E178" t="inlineStr">
        <is>
          <t>ORUST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49134-2021</t>
        </is>
      </c>
      <c r="B179" s="1" t="n">
        <v>44453</v>
      </c>
      <c r="C179" s="1" t="n">
        <v>46132</v>
      </c>
      <c r="D179" t="inlineStr">
        <is>
          <t>VÄSTRA GÖTALANDS LÄN</t>
        </is>
      </c>
      <c r="E179" t="inlineStr">
        <is>
          <t>ORUST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46708-2023</t>
        </is>
      </c>
      <c r="B180" s="1" t="n">
        <v>45198</v>
      </c>
      <c r="C180" s="1" t="n">
        <v>46132</v>
      </c>
      <c r="D180" t="inlineStr">
        <is>
          <t>VÄSTRA GÖTALANDS LÄN</t>
        </is>
      </c>
      <c r="E180" t="inlineStr">
        <is>
          <t>ORUST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40722-2024</t>
        </is>
      </c>
      <c r="B181" s="1" t="n">
        <v>45558.44460648148</v>
      </c>
      <c r="C181" s="1" t="n">
        <v>46132</v>
      </c>
      <c r="D181" t="inlineStr">
        <is>
          <t>VÄSTRA GÖTALANDS LÄN</t>
        </is>
      </c>
      <c r="E181" t="inlineStr">
        <is>
          <t>ORUST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62369-2023</t>
        </is>
      </c>
      <c r="B182" s="1" t="n">
        <v>45268.30483796296</v>
      </c>
      <c r="C182" s="1" t="n">
        <v>46132</v>
      </c>
      <c r="D182" t="inlineStr">
        <is>
          <t>VÄSTRA GÖTALANDS LÄN</t>
        </is>
      </c>
      <c r="E182" t="inlineStr">
        <is>
          <t>ORUST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43228-2024</t>
        </is>
      </c>
      <c r="B183" s="1" t="n">
        <v>45567.8855787037</v>
      </c>
      <c r="C183" s="1" t="n">
        <v>46132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14547-2022</t>
        </is>
      </c>
      <c r="B184" s="1" t="n">
        <v>44655</v>
      </c>
      <c r="C184" s="1" t="n">
        <v>46132</v>
      </c>
      <c r="D184" t="inlineStr">
        <is>
          <t>VÄSTRA GÖTALANDS LÄN</t>
        </is>
      </c>
      <c r="E184" t="inlineStr">
        <is>
          <t>ORUST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40270-2024</t>
        </is>
      </c>
      <c r="B185" s="1" t="n">
        <v>45554.64315972223</v>
      </c>
      <c r="C185" s="1" t="n">
        <v>46132</v>
      </c>
      <c r="D185" t="inlineStr">
        <is>
          <t>VÄSTRA GÖTALANDS LÄN</t>
        </is>
      </c>
      <c r="E185" t="inlineStr">
        <is>
          <t>ORUST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HYPERLINK("https://klasma.github.io/Logging_1421/knärot/A 40270-2024 karta knärot.png", "A 40270-2024")</f>
        <v/>
      </c>
      <c r="V185">
        <f>HYPERLINK("https://klasma.github.io/Logging_1421/klagomål/A 40270-2024 FSC-klagomål.docx", "A 40270-2024")</f>
        <v/>
      </c>
      <c r="W185">
        <f>HYPERLINK("https://klasma.github.io/Logging_1421/klagomålsmail/A 40270-2024 FSC-klagomål mail.docx", "A 40270-2024")</f>
        <v/>
      </c>
      <c r="X185">
        <f>HYPERLINK("https://klasma.github.io/Logging_1421/tillsyn/A 40270-2024 tillsynsbegäran.docx", "A 40270-2024")</f>
        <v/>
      </c>
      <c r="Y185">
        <f>HYPERLINK("https://klasma.github.io/Logging_1421/tillsynsmail/A 40270-2024 tillsynsbegäran mail.docx", "A 40270-2024")</f>
        <v/>
      </c>
    </row>
    <row r="186" ht="15" customHeight="1">
      <c r="A186" t="inlineStr">
        <is>
          <t>A 11356-2025</t>
        </is>
      </c>
      <c r="B186" s="1" t="n">
        <v>45726.52880787037</v>
      </c>
      <c r="C186" s="1" t="n">
        <v>46132</v>
      </c>
      <c r="D186" t="inlineStr">
        <is>
          <t>VÄSTRA GÖTALANDS LÄN</t>
        </is>
      </c>
      <c r="E186" t="inlineStr">
        <is>
          <t>ORUST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6485-2024</t>
        </is>
      </c>
      <c r="B187" s="1" t="n">
        <v>45339.40619212963</v>
      </c>
      <c r="C187" s="1" t="n">
        <v>46132</v>
      </c>
      <c r="D187" t="inlineStr">
        <is>
          <t>VÄSTRA GÖTALANDS LÄN</t>
        </is>
      </c>
      <c r="E187" t="inlineStr">
        <is>
          <t>ORUST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13377-2023</t>
        </is>
      </c>
      <c r="B188" s="1" t="n">
        <v>45005.49668981481</v>
      </c>
      <c r="C188" s="1" t="n">
        <v>46132</v>
      </c>
      <c r="D188" t="inlineStr">
        <is>
          <t>VÄSTRA GÖTALANDS LÄN</t>
        </is>
      </c>
      <c r="E188" t="inlineStr">
        <is>
          <t>ORUST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61302-2024</t>
        </is>
      </c>
      <c r="B189" s="1" t="n">
        <v>45645.90855324074</v>
      </c>
      <c r="C189" s="1" t="n">
        <v>46132</v>
      </c>
      <c r="D189" t="inlineStr">
        <is>
          <t>VÄSTRA GÖTALANDS LÄN</t>
        </is>
      </c>
      <c r="E189" t="inlineStr">
        <is>
          <t>ORUST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50562-2024</t>
        </is>
      </c>
      <c r="B190" s="1" t="n">
        <v>45601.59825231481</v>
      </c>
      <c r="C190" s="1" t="n">
        <v>46132</v>
      </c>
      <c r="D190" t="inlineStr">
        <is>
          <t>VÄSTRA GÖTALANDS LÄN</t>
        </is>
      </c>
      <c r="E190" t="inlineStr">
        <is>
          <t>ORUST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36999-2023</t>
        </is>
      </c>
      <c r="B191" s="1" t="n">
        <v>45155.24585648148</v>
      </c>
      <c r="C191" s="1" t="n">
        <v>46132</v>
      </c>
      <c r="D191" t="inlineStr">
        <is>
          <t>VÄSTRA GÖTALANDS LÄN</t>
        </is>
      </c>
      <c r="E191" t="inlineStr">
        <is>
          <t>ORUST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5152-2025</t>
        </is>
      </c>
      <c r="B192" s="1" t="n">
        <v>45691.6000462963</v>
      </c>
      <c r="C192" s="1" t="n">
        <v>46132</v>
      </c>
      <c r="D192" t="inlineStr">
        <is>
          <t>VÄSTRA GÖTALANDS LÄN</t>
        </is>
      </c>
      <c r="E192" t="inlineStr">
        <is>
          <t>ORUST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2026-04-20T10:30:40Z</dcterms:created>
  <dcterms:modified xmlns:dcterms="http://purl.org/dc/terms/" xmlns:xsi="http://www.w3.org/2001/XMLSchema-instance" xsi:type="dcterms:W3CDTF">2026-04-20T10:30:40Z</dcterms:modified>
</cp:coreProperties>
</file>