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46076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46076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46076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46076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46076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46076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46076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46076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46076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46076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46076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46076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46076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46076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46076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46076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46076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46076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46076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46076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46076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46076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46076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46076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46076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46076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46076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46076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46076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46076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46076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46076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46076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46076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46076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46076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46076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62369-2023</t>
        </is>
      </c>
      <c r="B46" s="1" t="n">
        <v>45268.30483796296</v>
      </c>
      <c r="C46" s="1" t="n">
        <v>46076</v>
      </c>
      <c r="D46" t="inlineStr">
        <is>
          <t>VÄSTRA GÖTALANDS LÄN</t>
        </is>
      </c>
      <c r="E46" t="inlineStr">
        <is>
          <t>ORUST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46076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46076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46076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46076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46076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46076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46076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46076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46076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63419-2023</t>
        </is>
      </c>
      <c r="B56" s="1" t="n">
        <v>45274</v>
      </c>
      <c r="C56" s="1" t="n">
        <v>46076</v>
      </c>
      <c r="D56" t="inlineStr">
        <is>
          <t>VÄSTRA GÖTALANDS LÄN</t>
        </is>
      </c>
      <c r="E56" t="inlineStr">
        <is>
          <t>ORUST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43752-2023</t>
        </is>
      </c>
      <c r="B57" s="1" t="n">
        <v>45187</v>
      </c>
      <c r="C57" s="1" t="n">
        <v>46076</v>
      </c>
      <c r="D57" t="inlineStr">
        <is>
          <t>VÄSTRA GÖTALANDS LÄN</t>
        </is>
      </c>
      <c r="E57" t="inlineStr">
        <is>
          <t>ORUST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30440-2024</t>
        </is>
      </c>
      <c r="B58" s="1" t="n">
        <v>45491.81488425926</v>
      </c>
      <c r="C58" s="1" t="n">
        <v>46076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49115-2024</t>
        </is>
      </c>
      <c r="B59" s="1" t="n">
        <v>45594.65954861111</v>
      </c>
      <c r="C59" s="1" t="n">
        <v>46076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54279-2024</t>
        </is>
      </c>
      <c r="B60" s="1" t="n">
        <v>45616.855</v>
      </c>
      <c r="C60" s="1" t="n">
        <v>46076</v>
      </c>
      <c r="D60" t="inlineStr">
        <is>
          <t>VÄSTRA GÖTALANDS LÄN</t>
        </is>
      </c>
      <c r="E60" t="inlineStr">
        <is>
          <t>ORUST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46076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46076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24179-2025</t>
        </is>
      </c>
      <c r="B63" s="1" t="n">
        <v>45796.72856481482</v>
      </c>
      <c r="C63" s="1" t="n">
        <v>46076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71890-2021</t>
        </is>
      </c>
      <c r="B64" s="1" t="n">
        <v>44543.78116898148</v>
      </c>
      <c r="C64" s="1" t="n">
        <v>46076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6957-2024</t>
        </is>
      </c>
      <c r="B65" s="1" t="n">
        <v>45343.45112268518</v>
      </c>
      <c r="C65" s="1" t="n">
        <v>46076</v>
      </c>
      <c r="D65" t="inlineStr">
        <is>
          <t>VÄSTRA GÖTALANDS LÄN</t>
        </is>
      </c>
      <c r="E65" t="inlineStr">
        <is>
          <t>ORUST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46076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51993-2022</t>
        </is>
      </c>
      <c r="B67" s="1" t="n">
        <v>44872</v>
      </c>
      <c r="C67" s="1" t="n">
        <v>46076</v>
      </c>
      <c r="D67" t="inlineStr">
        <is>
          <t>VÄSTRA GÖTALANDS LÄN</t>
        </is>
      </c>
      <c r="E67" t="inlineStr">
        <is>
          <t>ORUST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40270-2024</t>
        </is>
      </c>
      <c r="B68" s="1" t="n">
        <v>45554.64315972223</v>
      </c>
      <c r="C68" s="1" t="n">
        <v>46076</v>
      </c>
      <c r="D68" t="inlineStr">
        <is>
          <t>VÄSTRA GÖTALANDS LÄN</t>
        </is>
      </c>
      <c r="E68" t="inlineStr">
        <is>
          <t>ORUST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40270-2024 karta knärot.png", "A 40270-2024")</f>
        <v/>
      </c>
      <c r="V68">
        <f>HYPERLINK("https://klasma.github.io/Logging_1421/klagomål/A 40270-2024 FSC-klagomål.docx", "A 40270-2024")</f>
        <v/>
      </c>
      <c r="W68">
        <f>HYPERLINK("https://klasma.github.io/Logging_1421/klagomålsmail/A 40270-2024 FSC-klagomål mail.docx", "A 40270-2024")</f>
        <v/>
      </c>
      <c r="X68">
        <f>HYPERLINK("https://klasma.github.io/Logging_1421/tillsyn/A 40270-2024 tillsynsbegäran.docx", "A 40270-2024")</f>
        <v/>
      </c>
      <c r="Y68">
        <f>HYPERLINK("https://klasma.github.io/Logging_1421/tillsynsmail/A 40270-2024 tillsynsbegäran mail.docx", "A 40270-2024")</f>
        <v/>
      </c>
    </row>
    <row r="69" ht="15" customHeight="1">
      <c r="A69" t="inlineStr">
        <is>
          <t>A 40328-2025</t>
        </is>
      </c>
      <c r="B69" s="1" t="n">
        <v>45895</v>
      </c>
      <c r="C69" s="1" t="n">
        <v>46076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46076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13378-2023</t>
        </is>
      </c>
      <c r="B71" s="1" t="n">
        <v>45005.50077546296</v>
      </c>
      <c r="C71" s="1" t="n">
        <v>46076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46076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31617-2025</t>
        </is>
      </c>
      <c r="B73" s="1" t="n">
        <v>45833</v>
      </c>
      <c r="C73" s="1" t="n">
        <v>46076</v>
      </c>
      <c r="D73" t="inlineStr">
        <is>
          <t>VÄSTRA GÖTALANDS LÄN</t>
        </is>
      </c>
      <c r="E73" t="inlineStr">
        <is>
          <t>ORUST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25925-2024</t>
        </is>
      </c>
      <c r="B74" s="1" t="n">
        <v>45467.6122337963</v>
      </c>
      <c r="C74" s="1" t="n">
        <v>46076</v>
      </c>
      <c r="D74" t="inlineStr">
        <is>
          <t>VÄSTRA GÖTALANDS LÄN</t>
        </is>
      </c>
      <c r="E74" t="inlineStr">
        <is>
          <t>ORUST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46076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46076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46076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46076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46076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46076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33300-2025</t>
        </is>
      </c>
      <c r="B81" s="1" t="n">
        <v>45840.93423611111</v>
      </c>
      <c r="C81" s="1" t="n">
        <v>46076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33295-2025</t>
        </is>
      </c>
      <c r="B82" s="1" t="n">
        <v>45840.92070601852</v>
      </c>
      <c r="C82" s="1" t="n">
        <v>46076</v>
      </c>
      <c r="D82" t="inlineStr">
        <is>
          <t>VÄSTRA GÖTALANDS LÄN</t>
        </is>
      </c>
      <c r="E82" t="inlineStr">
        <is>
          <t>ORUST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33296-2025</t>
        </is>
      </c>
      <c r="B83" s="1" t="n">
        <v>45840.92538194444</v>
      </c>
      <c r="C83" s="1" t="n">
        <v>46076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45840.93229166666</v>
      </c>
      <c r="C84" s="1" t="n">
        <v>46076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46076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34502-2025</t>
        </is>
      </c>
      <c r="B86" s="1" t="n">
        <v>45847.43163194445</v>
      </c>
      <c r="C86" s="1" t="n">
        <v>46076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46076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43228-2024</t>
        </is>
      </c>
      <c r="B88" s="1" t="n">
        <v>45567.8855787037</v>
      </c>
      <c r="C88" s="1" t="n">
        <v>46076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46076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46076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36695-2025</t>
        </is>
      </c>
      <c r="B91" s="1" t="n">
        <v>45872</v>
      </c>
      <c r="C91" s="1" t="n">
        <v>46076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36719-2025</t>
        </is>
      </c>
      <c r="B92" s="1" t="n">
        <v>45872</v>
      </c>
      <c r="C92" s="1" t="n">
        <v>46076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46076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47630-2025</t>
        </is>
      </c>
      <c r="B94" s="1" t="n">
        <v>45931.48855324074</v>
      </c>
      <c r="C94" s="1" t="n">
        <v>46076</v>
      </c>
      <c r="D94" t="inlineStr">
        <is>
          <t>VÄSTRA GÖTALANDS LÄN</t>
        </is>
      </c>
      <c r="E94" t="inlineStr">
        <is>
          <t>ORUST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5926-2024</t>
        </is>
      </c>
      <c r="B95" s="1" t="n">
        <v>45336</v>
      </c>
      <c r="C95" s="1" t="n">
        <v>46076</v>
      </c>
      <c r="D95" t="inlineStr">
        <is>
          <t>VÄSTRA GÖTALANDS LÄN</t>
        </is>
      </c>
      <c r="E95" t="inlineStr">
        <is>
          <t>ORUST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47404-2025</t>
        </is>
      </c>
      <c r="B96" s="1" t="n">
        <v>45930.61149305556</v>
      </c>
      <c r="C96" s="1" t="n">
        <v>46076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6986-2024</t>
        </is>
      </c>
      <c r="B97" s="1" t="n">
        <v>45343.48984953704</v>
      </c>
      <c r="C97" s="1" t="n">
        <v>46076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50532-2024</t>
        </is>
      </c>
      <c r="B98" s="1" t="n">
        <v>45601.56552083333</v>
      </c>
      <c r="C98" s="1" t="n">
        <v>46076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46076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48419-2025</t>
        </is>
      </c>
      <c r="B100" s="1" t="n">
        <v>45934.58502314815</v>
      </c>
      <c r="C100" s="1" t="n">
        <v>46076</v>
      </c>
      <c r="D100" t="inlineStr">
        <is>
          <t>VÄSTRA GÖTALANDS LÄN</t>
        </is>
      </c>
      <c r="E100" t="inlineStr">
        <is>
          <t>ORUST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46076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49072-2025</t>
        </is>
      </c>
      <c r="B102" s="1" t="n">
        <v>45937.65501157408</v>
      </c>
      <c r="C102" s="1" t="n">
        <v>46076</v>
      </c>
      <c r="D102" t="inlineStr">
        <is>
          <t>VÄSTRA GÖTALANDS LÄN</t>
        </is>
      </c>
      <c r="E102" t="inlineStr">
        <is>
          <t>ORUST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20089-2025</t>
        </is>
      </c>
      <c r="B103" s="1" t="n">
        <v>45771</v>
      </c>
      <c r="C103" s="1" t="n">
        <v>46076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46076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61302-2024</t>
        </is>
      </c>
      <c r="B105" s="1" t="n">
        <v>45645.90855324074</v>
      </c>
      <c r="C105" s="1" t="n">
        <v>46076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49365-2025</t>
        </is>
      </c>
      <c r="B106" s="1" t="n">
        <v>45938.62341435185</v>
      </c>
      <c r="C106" s="1" t="n">
        <v>46076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5714-2024</t>
        </is>
      </c>
      <c r="B107" s="1" t="n">
        <v>45334.87804398148</v>
      </c>
      <c r="C107" s="1" t="n">
        <v>46076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46076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13377-2023</t>
        </is>
      </c>
      <c r="B109" s="1" t="n">
        <v>45005.49668981481</v>
      </c>
      <c r="C109" s="1" t="n">
        <v>46076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37130-2024</t>
        </is>
      </c>
      <c r="B110" s="1" t="n">
        <v>45539.57060185185</v>
      </c>
      <c r="C110" s="1" t="n">
        <v>46076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59915-2024</t>
        </is>
      </c>
      <c r="B111" s="1" t="n">
        <v>45641.74975694445</v>
      </c>
      <c r="C111" s="1" t="n">
        <v>46076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5152-2025</t>
        </is>
      </c>
      <c r="B112" s="1" t="n">
        <v>45691.6000462963</v>
      </c>
      <c r="C112" s="1" t="n">
        <v>46076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42712-2023</t>
        </is>
      </c>
      <c r="B113" s="1" t="n">
        <v>45181.61869212963</v>
      </c>
      <c r="C113" s="1" t="n">
        <v>46076</v>
      </c>
      <c r="D113" t="inlineStr">
        <is>
          <t>VÄSTRA GÖTALANDS LÄN</t>
        </is>
      </c>
      <c r="E113" t="inlineStr">
        <is>
          <t>ORUST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46076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50562-2024</t>
        </is>
      </c>
      <c r="B115" s="1" t="n">
        <v>45601.59825231481</v>
      </c>
      <c r="C115" s="1" t="n">
        <v>46076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20131-2025</t>
        </is>
      </c>
      <c r="B116" s="1" t="n">
        <v>45772.50918981482</v>
      </c>
      <c r="C116" s="1" t="n">
        <v>46076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5454-2025</t>
        </is>
      </c>
      <c r="B117" s="1" t="n">
        <v>45692.98011574074</v>
      </c>
      <c r="C117" s="1" t="n">
        <v>46076</v>
      </c>
      <c r="D117" t="inlineStr">
        <is>
          <t>VÄSTRA GÖTALANDS LÄN</t>
        </is>
      </c>
      <c r="E117" t="inlineStr">
        <is>
          <t>ORUST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2213-2025</t>
        </is>
      </c>
      <c r="B118" s="1" t="n">
        <v>45673.4359837963</v>
      </c>
      <c r="C118" s="1" t="n">
        <v>46076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46076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40722-2024</t>
        </is>
      </c>
      <c r="B120" s="1" t="n">
        <v>45558.44460648148</v>
      </c>
      <c r="C120" s="1" t="n">
        <v>46076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46076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58853-2025</t>
        </is>
      </c>
      <c r="B122" s="1" t="n">
        <v>45987.40476851852</v>
      </c>
      <c r="C122" s="1" t="n">
        <v>46076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58852-2025</t>
        </is>
      </c>
      <c r="B123" s="1" t="n">
        <v>45987.40355324074</v>
      </c>
      <c r="C123" s="1" t="n">
        <v>46076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46076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46076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2436-2026</t>
        </is>
      </c>
      <c r="B126" s="1" t="n">
        <v>46036.90234953703</v>
      </c>
      <c r="C126" s="1" t="n">
        <v>46076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46076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2435-2026</t>
        </is>
      </c>
      <c r="B128" s="1" t="n">
        <v>46036.90065972223</v>
      </c>
      <c r="C128" s="1" t="n">
        <v>46076</v>
      </c>
      <c r="D128" t="inlineStr">
        <is>
          <t>VÄSTRA GÖTALANDS LÄN</t>
        </is>
      </c>
      <c r="E128" t="inlineStr">
        <is>
          <t>ORUST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61319-2025</t>
        </is>
      </c>
      <c r="B129" s="1" t="n">
        <v>46000.94983796297</v>
      </c>
      <c r="C129" s="1" t="n">
        <v>46076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61320-2025</t>
        </is>
      </c>
      <c r="B130" s="1" t="n">
        <v>46000.95591435185</v>
      </c>
      <c r="C130" s="1" t="n">
        <v>46076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4114-2026</t>
        </is>
      </c>
      <c r="B131" s="1" t="n">
        <v>46044.60348379629</v>
      </c>
      <c r="C131" s="1" t="n">
        <v>46076</v>
      </c>
      <c r="D131" t="inlineStr">
        <is>
          <t>VÄSTRA GÖTALANDS LÄN</t>
        </is>
      </c>
      <c r="E131" t="inlineStr">
        <is>
          <t>ORUST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46076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40743-2024</t>
        </is>
      </c>
      <c r="B133" s="1" t="n">
        <v>45558.45</v>
      </c>
      <c r="C133" s="1" t="n">
        <v>46076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18954-2025</t>
        </is>
      </c>
      <c r="B134" s="1" t="n">
        <v>45764.51478009259</v>
      </c>
      <c r="C134" s="1" t="n">
        <v>46076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771-2023</t>
        </is>
      </c>
      <c r="B135" s="1" t="n">
        <v>44931</v>
      </c>
      <c r="C135" s="1" t="n">
        <v>46076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6739-2026</t>
        </is>
      </c>
      <c r="B136" s="1" t="n">
        <v>46056.69936342593</v>
      </c>
      <c r="C136" s="1" t="n">
        <v>46076</v>
      </c>
      <c r="D136" t="inlineStr">
        <is>
          <t>VÄSTRA GÖTALANDS LÄN</t>
        </is>
      </c>
      <c r="E136" t="inlineStr">
        <is>
          <t>ORUST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46076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11356-2025</t>
        </is>
      </c>
      <c r="B138" s="1" t="n">
        <v>45726.52880787037</v>
      </c>
      <c r="C138" s="1" t="n">
        <v>46076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46076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46076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37000-2023</t>
        </is>
      </c>
      <c r="B141" s="1" t="n">
        <v>45155.26925925926</v>
      </c>
      <c r="C141" s="1" t="n">
        <v>46076</v>
      </c>
      <c r="D141" t="inlineStr">
        <is>
          <t>VÄSTRA GÖTALANDS LÄN</t>
        </is>
      </c>
      <c r="E141" t="inlineStr">
        <is>
          <t>ORUST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6485-2024</t>
        </is>
      </c>
      <c r="B142" s="1" t="n">
        <v>45339.40619212963</v>
      </c>
      <c r="C142" s="1" t="n">
        <v>46076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9194-2026</t>
        </is>
      </c>
      <c r="B143" s="1" t="n">
        <v>46070.39208333333</v>
      </c>
      <c r="C143" s="1" t="n">
        <v>46076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46076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9344-2026</t>
        </is>
      </c>
      <c r="B145" s="1" t="n">
        <v>46070.68266203703</v>
      </c>
      <c r="C145" s="1" t="n">
        <v>46076</v>
      </c>
      <c r="D145" t="inlineStr">
        <is>
          <t>VÄSTRA GÖTALANDS LÄN</t>
        </is>
      </c>
      <c r="E145" t="inlineStr">
        <is>
          <t>ORUST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49617-2023</t>
        </is>
      </c>
      <c r="B146" s="1" t="n">
        <v>45211</v>
      </c>
      <c r="C146" s="1" t="n">
        <v>46076</v>
      </c>
      <c r="D146" t="inlineStr">
        <is>
          <t>VÄSTRA GÖTALANDS LÄN</t>
        </is>
      </c>
      <c r="E146" t="inlineStr">
        <is>
          <t>ORUST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23682-2024</t>
        </is>
      </c>
      <c r="B147" s="1" t="n">
        <v>45454.62754629629</v>
      </c>
      <c r="C147" s="1" t="n">
        <v>46076</v>
      </c>
      <c r="D147" t="inlineStr">
        <is>
          <t>VÄSTRA GÖTALANDS LÄN</t>
        </is>
      </c>
      <c r="E147" t="inlineStr">
        <is>
          <t>ORUST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39206-2024</t>
        </is>
      </c>
      <c r="B148" s="1" t="n">
        <v>45548.81200231481</v>
      </c>
      <c r="C148" s="1" t="n">
        <v>46076</v>
      </c>
      <c r="D148" t="inlineStr">
        <is>
          <t>VÄSTRA GÖTALANDS LÄN</t>
        </is>
      </c>
      <c r="E148" t="inlineStr">
        <is>
          <t>ORUST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46076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5617-2024</t>
        </is>
      </c>
      <c r="B150" s="1" t="n">
        <v>45334.58319444444</v>
      </c>
      <c r="C150" s="1" t="n">
        <v>46076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HYPERLINK("https://klasma.github.io/Logging_1421/knärot/A 5617-2024 karta knärot.png", "A 5617-2024")</f>
        <v/>
      </c>
      <c r="V150">
        <f>HYPERLINK("https://klasma.github.io/Logging_1421/klagomål/A 5617-2024 FSC-klagomål.docx", "A 5617-2024")</f>
        <v/>
      </c>
      <c r="W150">
        <f>HYPERLINK("https://klasma.github.io/Logging_1421/klagomålsmail/A 5617-2024 FSC-klagomål mail.docx", "A 5617-2024")</f>
        <v/>
      </c>
      <c r="X150">
        <f>HYPERLINK("https://klasma.github.io/Logging_1421/tillsyn/A 5617-2024 tillsynsbegäran.docx", "A 5617-2024")</f>
        <v/>
      </c>
      <c r="Y150">
        <f>HYPERLINK("https://klasma.github.io/Logging_1421/tillsynsmail/A 5617-2024 tillsynsbegäran mail.docx", "A 5617-2024")</f>
        <v/>
      </c>
    </row>
    <row r="151" ht="15" customHeight="1">
      <c r="A151" t="inlineStr">
        <is>
          <t>A 34056-2024</t>
        </is>
      </c>
      <c r="B151" s="1" t="n">
        <v>45523.6125</v>
      </c>
      <c r="C151" s="1" t="n">
        <v>46076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46076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46076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46076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46076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46076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46076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46076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46076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46076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46076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46076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46076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46076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46076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46076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46076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46076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46076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46076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46076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46076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46076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46076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46076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46076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46076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46076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13536-2025</t>
        </is>
      </c>
      <c r="B179" s="1" t="n">
        <v>45736.51413194444</v>
      </c>
      <c r="C179" s="1" t="n">
        <v>46076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24321-2025</t>
        </is>
      </c>
      <c r="B180" s="1" t="n">
        <v>45797</v>
      </c>
      <c r="C180" s="1" t="n">
        <v>46076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34046-2024</t>
        </is>
      </c>
      <c r="B181" s="1" t="n">
        <v>45523.60449074074</v>
      </c>
      <c r="C181" s="1" t="n">
        <v>46076</v>
      </c>
      <c r="D181" t="inlineStr">
        <is>
          <t>VÄSTRA GÖTALANDS LÄN</t>
        </is>
      </c>
      <c r="E181" t="inlineStr">
        <is>
          <t>ORUST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44754-2024</t>
        </is>
      </c>
      <c r="B182" s="1" t="n">
        <v>45574.61065972222</v>
      </c>
      <c r="C182" s="1" t="n">
        <v>46076</v>
      </c>
      <c r="D182" t="inlineStr">
        <is>
          <t>VÄSTRA GÖTALANDS LÄN</t>
        </is>
      </c>
      <c r="E182" t="inlineStr">
        <is>
          <t>ORUST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44417-2024</t>
        </is>
      </c>
      <c r="B183" s="1" t="n">
        <v>45573.8249537037</v>
      </c>
      <c r="C183" s="1" t="n">
        <v>46076</v>
      </c>
      <c r="D183" t="inlineStr">
        <is>
          <t>VÄSTRA GÖTALANDS LÄN</t>
        </is>
      </c>
      <c r="E183" t="inlineStr">
        <is>
          <t>ORUST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27277-2025</t>
        </is>
      </c>
      <c r="B184" s="1" t="n">
        <v>45812.52674768519</v>
      </c>
      <c r="C184" s="1" t="n">
        <v>46076</v>
      </c>
      <c r="D184" t="inlineStr">
        <is>
          <t>VÄSTRA GÖTALANDS LÄN</t>
        </is>
      </c>
      <c r="E184" t="inlineStr">
        <is>
          <t>ORUST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27555-2025</t>
        </is>
      </c>
      <c r="B185" s="1" t="n">
        <v>45813.47424768518</v>
      </c>
      <c r="C185" s="1" t="n">
        <v>46076</v>
      </c>
      <c r="D185" t="inlineStr">
        <is>
          <t>VÄSTRA GÖTALANDS LÄN</t>
        </is>
      </c>
      <c r="E185" t="inlineStr">
        <is>
          <t>ORUST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2026-02-23T11:10:12Z</dcterms:created>
  <dcterms:modified xmlns:dcterms="http://purl.org/dc/terms/" xmlns:xsi="http://www.w3.org/2001/XMLSchema-instance" xsi:type="dcterms:W3CDTF">2026-02-23T11:10:12Z</dcterms:modified>
</cp:coreProperties>
</file>