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46299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46299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46299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46299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46299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46299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46299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46299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46299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56035-2025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45973</v>
      </c>
      <c r="E11" s="1" t="n">
        <v>46299</v>
      </c>
      <c r="F11" t="inlineStr">
        <is>
          <t>VÄSTRA GÖTALANDS LÄN</t>
        </is>
      </c>
      <c r="G11" t="inlineStr">
        <is>
          <t>ORUST</t>
        </is>
      </c>
      <c r="I11" t="n">
        <v>15.9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0</v>
      </c>
      <c r="V11" s="2" t="inlineStr">
        <is>
          <t>Knärot</t>
        </is>
      </c>
      <c r="W11">
        <f>HYPERLINK("https://klasma.github.io/Logging_1421/artfynd/A 56035-2025 artfynd.xlsx", "A 56035-2025")</f>
        <v/>
      </c>
      <c r="X11">
        <f>HYPERLINK("https://klasma.github.io/Logging_1421/kartor/A 56035-2025 karta.png", "A 56035-2025")</f>
        <v/>
      </c>
      <c r="Y11">
        <f>HYPERLINK("https://klasma.github.io/Logging_1421/kartor_geotiff/A 56035-2025 georefererad karta.tif", "A 56035-2025")</f>
        <v/>
      </c>
      <c r="Z11">
        <f>HYPERLINK("https://klasma.github.io/Logging_1421/knärot/A 56035-2025 karta knärot.png", "A 56035-2025")</f>
        <v/>
      </c>
      <c r="AA11">
        <f>HYPERLINK("https://klasma.github.io/Logging_1421/klagomål/A 56035-2025 FSC-klagomål.docx", "A 56035-2025")</f>
        <v/>
      </c>
      <c r="AB11">
        <f>HYPERLINK("https://klasma.github.io/Logging_1421/klagomålsmail/A 56035-2025 FSC-klagomål mail.docx", "A 56035-2025")</f>
        <v/>
      </c>
      <c r="AC11">
        <f>HYPERLINK("https://klasma.github.io/Logging_1421/tillsyn/A 56035-2025 tillsynsbegäran.docx", "A 56035-2025")</f>
        <v/>
      </c>
      <c r="AD11">
        <f>HYPERLINK("https://klasma.github.io/Logging_1421/tillsynsmail/A 56035-2025 tillsynsbegäran mail.docx", "A 56035-2025")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46299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46299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46299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46299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46299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23921-2026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46299</v>
      </c>
      <c r="F17" t="inlineStr">
        <is>
          <t>VÄSTRA GÖTALANDS LÄN</t>
        </is>
      </c>
      <c r="G17" t="inlineStr">
        <is>
          <t>ORUST</t>
        </is>
      </c>
      <c r="I17" t="n">
        <v>3.6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Västlig hakmossa</t>
        </is>
      </c>
      <c r="W17">
        <f>HYPERLINK("https://klasma.github.io/Logging_1421/artfynd/A 23921-2026 artfynd.xlsx", "A 23921-2026")</f>
        <v/>
      </c>
      <c r="X17">
        <f>HYPERLINK("https://klasma.github.io/Logging_1421/kartor/A 23921-2026 karta.png", "A 23921-2026")</f>
        <v/>
      </c>
      <c r="Y17">
        <f>HYPERLINK("https://klasma.github.io/Logging_1421/kartor_geotiff/A 23921-2026 georefererad karta.tif", "A 23921-2026")</f>
        <v/>
      </c>
      <c r="AA17">
        <f>HYPERLINK("https://klasma.github.io/Logging_1421/klagomål/A 23921-2026 FSC-klagomål.docx", "A 23921-2026")</f>
        <v/>
      </c>
      <c r="AB17">
        <f>HYPERLINK("https://klasma.github.io/Logging_1421/klagomålsmail/A 23921-2026 FSC-klagomål mail.docx", "A 23921-2026")</f>
        <v/>
      </c>
      <c r="AC17">
        <f>HYPERLINK("https://klasma.github.io/Logging_1421/tillsyn/A 23921-2026 tillsynsbegäran.docx", "A 23921-2026")</f>
        <v/>
      </c>
      <c r="AD17">
        <f>HYPERLINK("https://klasma.github.io/Logging_1421/tillsynsmail/A 23921-2026 tillsynsbegäran mail.docx", "A 23921-2026")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46299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31028-2026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46213</v>
      </c>
      <c r="E19" s="1" t="n">
        <v>46299</v>
      </c>
      <c r="F19" t="inlineStr">
        <is>
          <t>VÄSTRA GÖTALANDS LÄN</t>
        </is>
      </c>
      <c r="G19" t="inlineStr">
        <is>
          <t>ORUST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Mörk husmossa</t>
        </is>
      </c>
      <c r="W19">
        <f>HYPERLINK("https://klasma.github.io/Logging_1421/artfynd/A 31028-2026 artfynd.xlsx", "A 31028-2026")</f>
        <v/>
      </c>
      <c r="X19">
        <f>HYPERLINK("https://klasma.github.io/Logging_1421/kartor/A 31028-2026 karta.png", "A 31028-2026")</f>
        <v/>
      </c>
      <c r="Y19">
        <f>HYPERLINK("https://klasma.github.io/Logging_1421/kartor_geotiff/A 31028-2026 georefererad karta.tif", "A 31028-2026")</f>
        <v/>
      </c>
      <c r="AA19">
        <f>HYPERLINK("https://klasma.github.io/Logging_1421/klagomål/A 31028-2026 FSC-klagomål.docx", "A 31028-2026")</f>
        <v/>
      </c>
      <c r="AB19">
        <f>HYPERLINK("https://klasma.github.io/Logging_1421/klagomålsmail/A 31028-2026 FSC-klagomål mail.docx", "A 31028-2026")</f>
        <v/>
      </c>
      <c r="AC19">
        <f>HYPERLINK("https://klasma.github.io/Logging_1421/tillsyn/A 31028-2026 tillsynsbegäran.docx", "A 31028-2026")</f>
        <v/>
      </c>
      <c r="AD19">
        <f>HYPERLINK("https://klasma.github.io/Logging_1421/tillsynsmail/A 31028-2026 tillsynsbegäran mail.docx", "A 31028-2026")</f>
        <v/>
      </c>
    </row>
    <row r="20" ht="15" customHeight="1">
      <c r="A20" t="inlineStr">
        <is>
          <t>A 41056-2025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45898</v>
      </c>
      <c r="E20" s="1" t="n">
        <v>46299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Grönpyrola</t>
        </is>
      </c>
      <c r="W20">
        <f>HYPERLINK("https://klasma.github.io/Logging_1421/artfynd/A 41056-2025 artfynd.xlsx", "A 41056-2025")</f>
        <v/>
      </c>
      <c r="X20">
        <f>HYPERLINK("https://klasma.github.io/Logging_1421/kartor/A 41056-2025 karta.png", "A 41056-2025")</f>
        <v/>
      </c>
      <c r="Y20">
        <f>HYPERLINK("https://klasma.github.io/Logging_1421/kartor_geotiff/A 41056-2025 georefererad karta.tif", "A 41056-2025")</f>
        <v/>
      </c>
      <c r="AA20">
        <f>HYPERLINK("https://klasma.github.io/Logging_1421/klagomål/A 41056-2025 FSC-klagomål.docx", "A 41056-2025")</f>
        <v/>
      </c>
      <c r="AB20">
        <f>HYPERLINK("https://klasma.github.io/Logging_1421/klagomålsmail/A 41056-2025 FSC-klagomål mail.docx", "A 41056-2025")</f>
        <v/>
      </c>
      <c r="AC20">
        <f>HYPERLINK("https://klasma.github.io/Logging_1421/tillsyn/A 41056-2025 tillsynsbegäran.docx", "A 41056-2025")</f>
        <v/>
      </c>
      <c r="AD20">
        <f>HYPERLINK("https://klasma.github.io/Logging_1421/tillsynsmail/A 41056-2025 tillsynsbegäran mail.docx", "A 41056-2025")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46299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46299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46299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46299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46299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46299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46299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46299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46299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46299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46299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46299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46299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46299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46299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46299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46299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46299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46299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46299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62369-2023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46299</v>
      </c>
      <c r="F41" t="inlineStr">
        <is>
          <t>VÄSTRA GÖTALANDS LÄN</t>
        </is>
      </c>
      <c r="G41" t="inlineStr">
        <is>
          <t>ORUST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34217-2022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44791</v>
      </c>
      <c r="E42" s="1" t="n">
        <v>46299</v>
      </c>
      <c r="F42" t="inlineStr">
        <is>
          <t>VÄSTRA GÖTALANDS LÄN</t>
        </is>
      </c>
      <c r="G42" t="inlineStr">
        <is>
          <t>ORUST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57877-2022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44899</v>
      </c>
      <c r="E43" s="1" t="n">
        <v>46299</v>
      </c>
      <c r="F43" t="inlineStr">
        <is>
          <t>VÄSTRA GÖTALANDS LÄN</t>
        </is>
      </c>
      <c r="G43" t="inlineStr">
        <is>
          <t>ORUST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22750-2024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45448</v>
      </c>
      <c r="E44" s="1" t="n">
        <v>46299</v>
      </c>
      <c r="F44" t="inlineStr">
        <is>
          <t>VÄSTRA GÖTALANDS LÄN</t>
        </is>
      </c>
      <c r="G44" t="inlineStr">
        <is>
          <t>ORUST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36999-2023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45155</v>
      </c>
      <c r="E45" s="1" t="n">
        <v>46299</v>
      </c>
      <c r="F45" t="inlineStr">
        <is>
          <t>VÄSTRA GÖTALANDS LÄN</t>
        </is>
      </c>
      <c r="G45" t="inlineStr">
        <is>
          <t>ORUST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45045</v>
      </c>
      <c r="E46" s="1" t="n">
        <v>46299</v>
      </c>
      <c r="F46" t="inlineStr">
        <is>
          <t>VÄSTRA GÖTALANDS LÄN</t>
        </is>
      </c>
      <c r="G46" t="inlineStr">
        <is>
          <t>ORUST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46299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45790</v>
      </c>
      <c r="E48" s="1" t="n">
        <v>46299</v>
      </c>
      <c r="F48" t="inlineStr">
        <is>
          <t>VÄSTRA GÖTALANDS LÄN</t>
        </is>
      </c>
      <c r="G48" t="inlineStr">
        <is>
          <t>ORUST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45742</v>
      </c>
      <c r="E49" s="1" t="n">
        <v>46299</v>
      </c>
      <c r="F49" t="inlineStr">
        <is>
          <t>VÄSTRA GÖTALANDS LÄN</t>
        </is>
      </c>
      <c r="G49" t="inlineStr">
        <is>
          <t>ORUST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45718</v>
      </c>
      <c r="E50" s="1" t="n">
        <v>46299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46299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13521-2025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46299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13536-2025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46299</v>
      </c>
      <c r="F53" t="inlineStr">
        <is>
          <t>VÄSTRA GÖTALANDS LÄN</t>
        </is>
      </c>
      <c r="G53" t="inlineStr">
        <is>
          <t>ORUST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46299</v>
      </c>
      <c r="F54" t="inlineStr">
        <is>
          <t>VÄSTRA GÖTALANDS LÄN</t>
        </is>
      </c>
      <c r="G54" t="inlineStr">
        <is>
          <t>ORUST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46299</v>
      </c>
      <c r="F55" t="inlineStr">
        <is>
          <t>VÄSTRA GÖTALANDS LÄN</t>
        </is>
      </c>
      <c r="G55" t="inlineStr">
        <is>
          <t>ORUST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45903</v>
      </c>
      <c r="E56" s="1" t="n">
        <v>46299</v>
      </c>
      <c r="F56" t="inlineStr">
        <is>
          <t>VÄSTRA GÖTALANDS LÄN</t>
        </is>
      </c>
      <c r="G56" t="inlineStr">
        <is>
          <t>ORUST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46036</v>
      </c>
      <c r="E57" s="1" t="n">
        <v>46299</v>
      </c>
      <c r="F57" t="inlineStr">
        <is>
          <t>VÄSTRA GÖTALANDS LÄN</t>
        </is>
      </c>
      <c r="G57" t="inlineStr">
        <is>
          <t>ORUST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46036</v>
      </c>
      <c r="E58" s="1" t="n">
        <v>46299</v>
      </c>
      <c r="F58" t="inlineStr">
        <is>
          <t>VÄSTRA GÖTALANDS LÄN</t>
        </is>
      </c>
      <c r="G58" t="inlineStr">
        <is>
          <t>ORUST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46299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46044</v>
      </c>
      <c r="E60" s="1" t="n">
        <v>46299</v>
      </c>
      <c r="F60" t="inlineStr">
        <is>
          <t>VÄSTRA GÖTALANDS LÄN</t>
        </is>
      </c>
      <c r="G60" t="inlineStr">
        <is>
          <t>ORUST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46299</v>
      </c>
      <c r="F61" t="inlineStr">
        <is>
          <t>VÄSTRA GÖTALANDS LÄN</t>
        </is>
      </c>
      <c r="G61" t="inlineStr">
        <is>
          <t>ORUST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45523</v>
      </c>
      <c r="E62" s="1" t="n">
        <v>46299</v>
      </c>
      <c r="F62" t="inlineStr">
        <is>
          <t>VÄSTRA GÖTALANDS LÄN</t>
        </is>
      </c>
      <c r="G62" t="inlineStr">
        <is>
          <t>ORUST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46299</v>
      </c>
      <c r="F63" t="inlineStr">
        <is>
          <t>VÄSTRA GÖTALANDS LÄN</t>
        </is>
      </c>
      <c r="G63" t="inlineStr">
        <is>
          <t>ORUST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30440-2024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45491</v>
      </c>
      <c r="E64" s="1" t="n">
        <v>46299</v>
      </c>
      <c r="F64" t="inlineStr">
        <is>
          <t>VÄSTRA GÖTALANDS LÄN</t>
        </is>
      </c>
      <c r="G64" t="inlineStr">
        <is>
          <t>ORUST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46299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46056</v>
      </c>
      <c r="E66" s="1" t="n">
        <v>46299</v>
      </c>
      <c r="F66" t="inlineStr">
        <is>
          <t>VÄSTRA GÖTALANDS LÄN</t>
        </is>
      </c>
      <c r="G66" t="inlineStr">
        <is>
          <t>ORUST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46299</v>
      </c>
      <c r="F67" t="inlineStr">
        <is>
          <t>VÄSTRA GÖTALANDS LÄN</t>
        </is>
      </c>
      <c r="G67" t="inlineStr">
        <is>
          <t>ORUST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8457-2026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46065</v>
      </c>
      <c r="E68" s="1" t="n">
        <v>46299</v>
      </c>
      <c r="F68" t="inlineStr">
        <is>
          <t>VÄSTRA GÖTALANDS LÄN</t>
        </is>
      </c>
      <c r="G68" t="inlineStr">
        <is>
          <t>ORUST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46299</v>
      </c>
      <c r="F69" t="inlineStr">
        <is>
          <t>VÄSTRA GÖTALANDS LÄN</t>
        </is>
      </c>
      <c r="G69" t="inlineStr">
        <is>
          <t>ORUST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9194-2026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46299</v>
      </c>
      <c r="F70" t="inlineStr">
        <is>
          <t>VÄSTRA GÖTALANDS LÄN</t>
        </is>
      </c>
      <c r="G70" t="inlineStr">
        <is>
          <t>ORUST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46299</v>
      </c>
      <c r="F71" t="inlineStr">
        <is>
          <t>VÄSTRA GÖTALANDS LÄN</t>
        </is>
      </c>
      <c r="G71" t="inlineStr">
        <is>
          <t>ORUST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49365-2025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46299</v>
      </c>
      <c r="F72" t="inlineStr">
        <is>
          <t>VÄSTRA GÖTALANDS LÄN</t>
        </is>
      </c>
      <c r="G72" t="inlineStr">
        <is>
          <t>ORUST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46075</v>
      </c>
      <c r="E73" s="1" t="n">
        <v>46299</v>
      </c>
      <c r="F73" t="inlineStr">
        <is>
          <t>VÄSTRA GÖTALANDS LÄN</t>
        </is>
      </c>
      <c r="G73" t="inlineStr">
        <is>
          <t>ORUST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45573</v>
      </c>
      <c r="E74" s="1" t="n">
        <v>46299</v>
      </c>
      <c r="F74" t="inlineStr">
        <is>
          <t>VÄSTRA GÖTALANDS LÄN</t>
        </is>
      </c>
      <c r="G74" t="inlineStr">
        <is>
          <t>ORUST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71890-2021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46299</v>
      </c>
      <c r="F75" t="inlineStr">
        <is>
          <t>VÄSTRA GÖTALANDS LÄN</t>
        </is>
      </c>
      <c r="G75" t="inlineStr">
        <is>
          <t>ORUST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46299</v>
      </c>
      <c r="F76" t="inlineStr">
        <is>
          <t>VÄSTRA GÖTALANDS LÄN</t>
        </is>
      </c>
      <c r="G76" t="inlineStr">
        <is>
          <t>ORUST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46299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46299</v>
      </c>
      <c r="F78" t="inlineStr">
        <is>
          <t>VÄSTRA GÖTALANDS LÄN</t>
        </is>
      </c>
      <c r="G78" t="inlineStr">
        <is>
          <t>ORUST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46299</v>
      </c>
      <c r="F79" t="inlineStr">
        <is>
          <t>VÄSTRA GÖTALANDS LÄN</t>
        </is>
      </c>
      <c r="G79" t="inlineStr">
        <is>
          <t>ORUST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46299</v>
      </c>
      <c r="F80" t="inlineStr">
        <is>
          <t>VÄSTRA GÖTALANDS LÄN</t>
        </is>
      </c>
      <c r="G80" t="inlineStr">
        <is>
          <t>ORUST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45467</v>
      </c>
      <c r="E81" s="1" t="n">
        <v>46299</v>
      </c>
      <c r="F81" t="inlineStr">
        <is>
          <t>VÄSTRA GÖTALANDS LÄN</t>
        </is>
      </c>
      <c r="G81" t="inlineStr">
        <is>
          <t>ORUST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46299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46299</v>
      </c>
      <c r="F83" t="inlineStr">
        <is>
          <t>VÄSTRA GÖTALANDS LÄN</t>
        </is>
      </c>
      <c r="G83" t="inlineStr">
        <is>
          <t>ORUST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46299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17426-2026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46299</v>
      </c>
      <c r="F85" t="inlineStr">
        <is>
          <t>VÄSTRA GÖTALANDS LÄN</t>
        </is>
      </c>
      <c r="G85" t="inlineStr">
        <is>
          <t>ORUST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45992</v>
      </c>
      <c r="E86" s="1" t="n">
        <v>46299</v>
      </c>
      <c r="F86" t="inlineStr">
        <is>
          <t>VÄSTRA GÖTALANDS LÄN</t>
        </is>
      </c>
      <c r="G86" t="inlineStr">
        <is>
          <t>ORUST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46299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46299</v>
      </c>
      <c r="F88" t="inlineStr">
        <is>
          <t>VÄSTRA GÖTALANDS LÄN</t>
        </is>
      </c>
      <c r="G88" t="inlineStr">
        <is>
          <t>ORUST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46299</v>
      </c>
      <c r="F89" t="inlineStr">
        <is>
          <t>VÄSTRA GÖTALANDS LÄN</t>
        </is>
      </c>
      <c r="G89" t="inlineStr">
        <is>
          <t>ORUST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46299</v>
      </c>
      <c r="F90" t="inlineStr">
        <is>
          <t>VÄSTRA GÖTALANDS LÄN</t>
        </is>
      </c>
      <c r="G90" t="inlineStr">
        <is>
          <t>ORUST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46299</v>
      </c>
      <c r="F91" t="inlineStr">
        <is>
          <t>VÄSTRA GÖTALANDS LÄN</t>
        </is>
      </c>
      <c r="G91" t="inlineStr">
        <is>
          <t>ORUST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46299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46299</v>
      </c>
      <c r="F93" t="inlineStr">
        <is>
          <t>VÄSTRA GÖTALANDS LÄN</t>
        </is>
      </c>
      <c r="G93" t="inlineStr">
        <is>
          <t>ORUST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46299</v>
      </c>
      <c r="F94" t="inlineStr">
        <is>
          <t>VÄSTRA GÖTALANDS LÄN</t>
        </is>
      </c>
      <c r="G94" t="inlineStr">
        <is>
          <t>ORUST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46299</v>
      </c>
      <c r="F95" t="inlineStr">
        <is>
          <t>VÄSTRA GÖTALANDS LÄN</t>
        </is>
      </c>
      <c r="G95" t="inlineStr">
        <is>
          <t>ORUST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46299</v>
      </c>
      <c r="F96" t="inlineStr">
        <is>
          <t>VÄSTRA GÖTALANDS LÄN</t>
        </is>
      </c>
      <c r="G96" t="inlineStr">
        <is>
          <t>ORUST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46299</v>
      </c>
      <c r="F97" t="inlineStr">
        <is>
          <t>VÄSTRA GÖTALANDS LÄN</t>
        </is>
      </c>
      <c r="G97" t="inlineStr">
        <is>
          <t>ORUST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46299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34500-2025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45847</v>
      </c>
      <c r="E99" s="1" t="n">
        <v>46299</v>
      </c>
      <c r="F99" t="inlineStr">
        <is>
          <t>VÄSTRA GÖTALANDS LÄN</t>
        </is>
      </c>
      <c r="G99" t="inlineStr">
        <is>
          <t>ORUST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46299</v>
      </c>
      <c r="F100" t="inlineStr">
        <is>
          <t>VÄSTRA GÖTALANDS LÄN</t>
        </is>
      </c>
      <c r="G100" t="inlineStr">
        <is>
          <t>ORUST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45895</v>
      </c>
      <c r="E101" s="1" t="n">
        <v>46299</v>
      </c>
      <c r="F101" t="inlineStr">
        <is>
          <t>VÄSTRA GÖTALANDS LÄN</t>
        </is>
      </c>
      <c r="G101" t="inlineStr">
        <is>
          <t>ORUST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46299</v>
      </c>
      <c r="F102" t="inlineStr">
        <is>
          <t>VÄSTRA GÖTALANDS LÄN</t>
        </is>
      </c>
      <c r="G102" t="inlineStr">
        <is>
          <t>ORUST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46299</v>
      </c>
      <c r="F103" t="inlineStr">
        <is>
          <t>VÄSTRA GÖTALANDS LÄN</t>
        </is>
      </c>
      <c r="G103" t="inlineStr">
        <is>
          <t>ORUST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56496-2021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46299</v>
      </c>
      <c r="F104" t="inlineStr">
        <is>
          <t>VÄSTRA GÖTALANDS LÄN</t>
        </is>
      </c>
      <c r="G104" t="inlineStr">
        <is>
          <t>ORUST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46299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68727-2021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46299</v>
      </c>
      <c r="F106" t="inlineStr">
        <is>
          <t>VÄSTRA GÖTALANDS LÄN</t>
        </is>
      </c>
      <c r="G106" t="inlineStr">
        <is>
          <t>ORUST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45641</v>
      </c>
      <c r="E107" s="1" t="n">
        <v>46299</v>
      </c>
      <c r="F107" t="inlineStr">
        <is>
          <t>VÄSTRA GÖTALANDS LÄN</t>
        </is>
      </c>
      <c r="G107" t="inlineStr">
        <is>
          <t>ORUST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46299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46299</v>
      </c>
      <c r="F109" t="inlineStr">
        <is>
          <t>VÄSTRA GÖTALANDS LÄN</t>
        </is>
      </c>
      <c r="G109" t="inlineStr">
        <is>
          <t>ORUST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46299</v>
      </c>
      <c r="F110" t="inlineStr">
        <is>
          <t>VÄSTRA GÖTALANDS LÄN</t>
        </is>
      </c>
      <c r="G110" t="inlineStr">
        <is>
          <t>ORUST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36722-2025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45872</v>
      </c>
      <c r="E111" s="1" t="n">
        <v>46299</v>
      </c>
      <c r="F111" t="inlineStr">
        <is>
          <t>VÄSTRA GÖTALANDS LÄN</t>
        </is>
      </c>
      <c r="G111" t="inlineStr">
        <is>
          <t>ORUST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46299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46299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46299</v>
      </c>
      <c r="F114" t="inlineStr">
        <is>
          <t>VÄSTRA GÖTALANDS LÄN</t>
        </is>
      </c>
      <c r="G114" t="inlineStr">
        <is>
          <t>ORUST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46299</v>
      </c>
      <c r="F115" t="inlineStr">
        <is>
          <t>VÄSTRA GÖTALANDS LÄN</t>
        </is>
      </c>
      <c r="G115" t="inlineStr">
        <is>
          <t>ORUST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45535</v>
      </c>
      <c r="E116" s="1" t="n">
        <v>46299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46299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45629</v>
      </c>
      <c r="E118" s="1" t="n">
        <v>46299</v>
      </c>
      <c r="F118" t="inlineStr">
        <is>
          <t>VÄSTRA GÖTALANDS LÄN</t>
        </is>
      </c>
      <c r="G118" t="inlineStr">
        <is>
          <t>ORUST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46299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24605-2026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46299</v>
      </c>
      <c r="F120" t="inlineStr">
        <is>
          <t>VÄSTRA GÖTALANDS LÄN</t>
        </is>
      </c>
      <c r="G120" t="inlineStr">
        <is>
          <t>ORUST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46299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46299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46299</v>
      </c>
      <c r="F123" t="inlineStr">
        <is>
          <t>VÄSTRA GÖTALANDS LÄN</t>
        </is>
      </c>
      <c r="G123" t="inlineStr">
        <is>
          <t>ORUST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46175</v>
      </c>
      <c r="E124" s="1" t="n">
        <v>46299</v>
      </c>
      <c r="F124" t="inlineStr">
        <is>
          <t>VÄSTRA GÖTALANDS LÄN</t>
        </is>
      </c>
      <c r="G124" t="inlineStr">
        <is>
          <t>ORUST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45667</v>
      </c>
      <c r="E125" s="1" t="n">
        <v>46299</v>
      </c>
      <c r="F125" t="inlineStr">
        <is>
          <t>VÄSTRA GÖTALANDS LÄN</t>
        </is>
      </c>
      <c r="G125" t="inlineStr">
        <is>
          <t>ORUST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46299</v>
      </c>
      <c r="F126" t="inlineStr">
        <is>
          <t>VÄSTRA GÖTALANDS LÄN</t>
        </is>
      </c>
      <c r="G126" t="inlineStr">
        <is>
          <t>ORUST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46299</v>
      </c>
      <c r="F127" t="inlineStr">
        <is>
          <t>VÄSTRA GÖTALANDS LÄN</t>
        </is>
      </c>
      <c r="G127" t="inlineStr">
        <is>
          <t>ORUST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46299</v>
      </c>
      <c r="F128" t="inlineStr">
        <is>
          <t>VÄSTRA GÖTALANDS LÄN</t>
        </is>
      </c>
      <c r="G128" t="inlineStr">
        <is>
          <t>ORUST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46299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46299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45139</v>
      </c>
      <c r="E131" s="1" t="n">
        <v>46299</v>
      </c>
      <c r="F131" t="inlineStr">
        <is>
          <t>VÄSTRA GÖTALANDS LÄN</t>
        </is>
      </c>
      <c r="G131" t="inlineStr">
        <is>
          <t>ORUST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45339</v>
      </c>
      <c r="E132" s="1" t="n">
        <v>46299</v>
      </c>
      <c r="F132" t="inlineStr">
        <is>
          <t>VÄSTRA GÖTALANDS LÄN</t>
        </is>
      </c>
      <c r="G132" t="inlineStr">
        <is>
          <t>ORUST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36428-2026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46299</v>
      </c>
      <c r="F133" t="inlineStr">
        <is>
          <t>VÄSTRA GÖTALANDS LÄN</t>
        </is>
      </c>
      <c r="G133" t="inlineStr">
        <is>
          <t>ORUST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46299</v>
      </c>
      <c r="F134" t="inlineStr">
        <is>
          <t>VÄSTRA GÖTALANDS LÄN</t>
        </is>
      </c>
      <c r="G134" t="inlineStr">
        <is>
          <t>ORUST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37948-2026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46280</v>
      </c>
      <c r="E135" s="1" t="n">
        <v>46299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46299</v>
      </c>
      <c r="F136" t="inlineStr">
        <is>
          <t>VÄSTRA GÖTALANDS LÄN</t>
        </is>
      </c>
      <c r="G136" t="inlineStr">
        <is>
          <t>ORUST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46299</v>
      </c>
      <c r="F137" t="inlineStr">
        <is>
          <t>VÄSTRA GÖTALANDS LÄN</t>
        </is>
      </c>
      <c r="G137" t="inlineStr">
        <is>
          <t>ORUST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46299</v>
      </c>
      <c r="F138" t="inlineStr">
        <is>
          <t>VÄSTRA GÖTALANDS LÄN</t>
        </is>
      </c>
      <c r="G138" t="inlineStr">
        <is>
          <t>ORUST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34056-2024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45523</v>
      </c>
      <c r="E139" s="1" t="n">
        <v>46299</v>
      </c>
      <c r="F139" t="inlineStr">
        <is>
          <t>VÄSTRA GÖTALANDS LÄN</t>
        </is>
      </c>
      <c r="G139" t="inlineStr">
        <is>
          <t>ORUST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46251</v>
      </c>
      <c r="E140" s="1" t="n">
        <v>46299</v>
      </c>
      <c r="F140" t="inlineStr">
        <is>
          <t>VÄSTRA GÖTALANDS LÄN</t>
        </is>
      </c>
      <c r="G140" t="inlineStr">
        <is>
          <t>ORUST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14547-2022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46299</v>
      </c>
      <c r="F141" t="inlineStr">
        <is>
          <t>VÄSTRA GÖTALANDS LÄN</t>
        </is>
      </c>
      <c r="G141" t="inlineStr">
        <is>
          <t>ORUST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45044</v>
      </c>
      <c r="E142" s="1" t="n">
        <v>46299</v>
      </c>
      <c r="F142" t="inlineStr">
        <is>
          <t>VÄSTRA GÖTALANDS LÄN</t>
        </is>
      </c>
      <c r="G142" t="inlineStr">
        <is>
          <t>ORUST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46299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46299</v>
      </c>
      <c r="F144" t="inlineStr">
        <is>
          <t>VÄSTRA GÖTALANDS LÄN</t>
        </is>
      </c>
      <c r="G144" t="inlineStr">
        <is>
          <t>ORUST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45511</v>
      </c>
      <c r="E145" s="1" t="n">
        <v>46299</v>
      </c>
      <c r="F145" t="inlineStr">
        <is>
          <t>VÄSTRA GÖTALANDS LÄN</t>
        </is>
      </c>
      <c r="G145" t="inlineStr">
        <is>
          <t>ORUST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46299</v>
      </c>
      <c r="F146" t="inlineStr">
        <is>
          <t>VÄSTRA GÖTALANDS LÄN</t>
        </is>
      </c>
      <c r="G146" t="inlineStr">
        <is>
          <t>ORUST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45198</v>
      </c>
      <c r="E147" s="1" t="n">
        <v>46299</v>
      </c>
      <c r="F147" t="inlineStr">
        <is>
          <t>VÄSTRA GÖTALANDS LÄN</t>
        </is>
      </c>
      <c r="G147" t="inlineStr">
        <is>
          <t>ORUST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44919</v>
      </c>
      <c r="E148" s="1" t="n">
        <v>46299</v>
      </c>
      <c r="F148" t="inlineStr">
        <is>
          <t>VÄSTRA GÖTALANDS LÄN</t>
        </is>
      </c>
      <c r="G148" t="inlineStr">
        <is>
          <t>ORUST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46299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46299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46299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45130</v>
      </c>
      <c r="E152" s="1" t="n">
        <v>46299</v>
      </c>
      <c r="F152" t="inlineStr">
        <is>
          <t>VÄSTRA GÖTALANDS LÄN</t>
        </is>
      </c>
      <c r="G152" t="inlineStr">
        <is>
          <t>ORUST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46299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2026-10-04T02:00:55Z</dcterms:created>
  <dcterms:modified xmlns:dcterms="http://purl.org/dc/terms/" xmlns:xsi="http://www.w3.org/2001/XMLSchema-instance" xsi:type="dcterms:W3CDTF">2026-10-04T02:00:55Z</dcterms:modified>
</cp:coreProperties>
</file>