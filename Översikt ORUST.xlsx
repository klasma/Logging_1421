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46310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46310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46310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46310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46310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46310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46310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46310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12722-2026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46091</v>
      </c>
      <c r="E10" s="1" t="n">
        <v>46310</v>
      </c>
      <c r="F10" t="inlineStr">
        <is>
          <t>VÄSTRA GÖTALANDS LÄN</t>
        </is>
      </c>
      <c r="G10" t="inlineStr">
        <is>
          <t>ORUST</t>
        </is>
      </c>
      <c r="I10" t="n">
        <v>7.4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HYPERLINK("https://klasma.github.io/Logging_1421/artfynd/A 12722-2026 artfynd.xlsx", "A 12722-2026")</f>
        <v/>
      </c>
      <c r="X10">
        <f>HYPERLINK("https://klasma.github.io/Logging_1421/kartor/A 12722-2026 karta.png", "A 12722-2026")</f>
        <v/>
      </c>
      <c r="Y10">
        <f>HYPERLINK("https://klasma.github.io/Logging_1421/kartor_geotiff/A 12722-2026 georefererad karta.tif", "A 12722-2026")</f>
        <v/>
      </c>
      <c r="Z10">
        <f>HYPERLINK("https://klasma.github.io/Logging_1421/knärot/A 12722-2026 karta knärot.png", "A 12722-2026")</f>
        <v/>
      </c>
      <c r="AA10">
        <f>HYPERLINK("https://klasma.github.io/Logging_1421/klagomål/A 12722-2026 FSC-klagomål.docx", "A 12722-2026")</f>
        <v/>
      </c>
      <c r="AB10">
        <f>HYPERLINK("https://klasma.github.io/Logging_1421/klagomålsmail/A 12722-2026 FSC-klagomål mail.docx", "A 12722-2026")</f>
        <v/>
      </c>
      <c r="AC10">
        <f>HYPERLINK("https://klasma.github.io/Logging_1421/tillsyn/A 12722-2026 tillsynsbegäran.docx", "A 12722-2026")</f>
        <v/>
      </c>
      <c r="AD10">
        <f>HYPERLINK("https://klasma.github.io/Logging_1421/tillsynsmail/A 12722-2026 tillsynsbegäran mail.docx", "A 12722-2026")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46310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46310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46310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46310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46310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46310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46310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46310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46310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31028-2026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46213</v>
      </c>
      <c r="E20" s="1" t="n">
        <v>46310</v>
      </c>
      <c r="F20" t="inlineStr">
        <is>
          <t>VÄSTRA GÖTALANDS LÄN</t>
        </is>
      </c>
      <c r="G20" t="inlineStr">
        <is>
          <t>ORUST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Mörk husmossa</t>
        </is>
      </c>
      <c r="W20">
        <f>HYPERLINK("https://klasma.github.io/Logging_1421/artfynd/A 31028-2026 artfynd.xlsx", "A 31028-2026")</f>
        <v/>
      </c>
      <c r="X20">
        <f>HYPERLINK("https://klasma.github.io/Logging_1421/kartor/A 31028-2026 karta.png", "A 31028-2026")</f>
        <v/>
      </c>
      <c r="Y20">
        <f>HYPERLINK("https://klasma.github.io/Logging_1421/kartor_geotiff/A 31028-2026 georefererad karta.tif", "A 31028-2026")</f>
        <v/>
      </c>
      <c r="AA20">
        <f>HYPERLINK("https://klasma.github.io/Logging_1421/klagomål/A 31028-2026 FSC-klagomål.docx", "A 31028-2026")</f>
        <v/>
      </c>
      <c r="AB20">
        <f>HYPERLINK("https://klasma.github.io/Logging_1421/klagomålsmail/A 31028-2026 FSC-klagomål mail.docx", "A 31028-2026")</f>
        <v/>
      </c>
      <c r="AC20">
        <f>HYPERLINK("https://klasma.github.io/Logging_1421/tillsyn/A 31028-2026 tillsynsbegäran.docx", "A 31028-2026")</f>
        <v/>
      </c>
      <c r="AD20">
        <f>HYPERLINK("https://klasma.github.io/Logging_1421/tillsynsmail/A 31028-2026 tillsynsbegäran mail.docx", "A 31028-2026")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46310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46310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46310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46310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46310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46310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46310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46310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46310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46310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46310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46310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46310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46310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46310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46310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46310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46310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46310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34046-2024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45523</v>
      </c>
      <c r="E40" s="1" t="n">
        <v>46310</v>
      </c>
      <c r="F40" t="inlineStr">
        <is>
          <t>VÄSTRA GÖTALANDS LÄN</t>
        </is>
      </c>
      <c r="G40" t="inlineStr">
        <is>
          <t>ORUST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13377-2023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45005</v>
      </c>
      <c r="E41" s="1" t="n">
        <v>46310</v>
      </c>
      <c r="F41" t="inlineStr">
        <is>
          <t>VÄSTRA GÖTALANDS LÄN</t>
        </is>
      </c>
      <c r="G41" t="inlineStr">
        <is>
          <t>ORUST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69196-2021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44531</v>
      </c>
      <c r="E42" s="1" t="n">
        <v>46310</v>
      </c>
      <c r="F42" t="inlineStr">
        <is>
          <t>VÄSTRA GÖTALANDS LÄN</t>
        </is>
      </c>
      <c r="G42" t="inlineStr">
        <is>
          <t>ORUST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37130-2024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46310</v>
      </c>
      <c r="F43" t="inlineStr">
        <is>
          <t>VÄSTRA GÖTALANDS LÄN</t>
        </is>
      </c>
      <c r="G43" t="inlineStr">
        <is>
          <t>ORUST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44754-2024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45574</v>
      </c>
      <c r="E44" s="1" t="n">
        <v>46310</v>
      </c>
      <c r="F44" t="inlineStr">
        <is>
          <t>VÄSTRA GÖTALANDS LÄN</t>
        </is>
      </c>
      <c r="G44" t="inlineStr">
        <is>
          <t>ORUST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45268</v>
      </c>
      <c r="E45" s="1" t="n">
        <v>46310</v>
      </c>
      <c r="F45" t="inlineStr">
        <is>
          <t>VÄSTRA GÖTALANDS LÄN</t>
        </is>
      </c>
      <c r="G45" t="inlineStr">
        <is>
          <t>ORUST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46310</v>
      </c>
      <c r="F46" t="inlineStr">
        <is>
          <t>VÄSTRA GÖTALANDS LÄN</t>
        </is>
      </c>
      <c r="G46" t="inlineStr">
        <is>
          <t>ORUST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27555-2025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45813</v>
      </c>
      <c r="E47" s="1" t="n">
        <v>46310</v>
      </c>
      <c r="F47" t="inlineStr">
        <is>
          <t>VÄSTRA GÖTALANDS LÄN</t>
        </is>
      </c>
      <c r="G47" t="inlineStr">
        <is>
          <t>ORUST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45641</v>
      </c>
      <c r="E48" s="1" t="n">
        <v>46310</v>
      </c>
      <c r="F48" t="inlineStr">
        <is>
          <t>VÄSTRA GÖTALANDS LÄN</t>
        </is>
      </c>
      <c r="G48" t="inlineStr">
        <is>
          <t>ORUST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46310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45616</v>
      </c>
      <c r="E50" s="1" t="n">
        <v>46310</v>
      </c>
      <c r="F50" t="inlineStr">
        <is>
          <t>VÄSTRA GÖTALANDS LÄN</t>
        </is>
      </c>
      <c r="G50" t="inlineStr">
        <is>
          <t>ORUST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57877-2022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46310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46310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46310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45840</v>
      </c>
      <c r="E54" s="1" t="n">
        <v>46310</v>
      </c>
      <c r="F54" t="inlineStr">
        <is>
          <t>VÄSTRA GÖTALANDS LÄN</t>
        </is>
      </c>
      <c r="G54" t="inlineStr">
        <is>
          <t>ORUST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19005-2023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45045</v>
      </c>
      <c r="E55" s="1" t="n">
        <v>46310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46310</v>
      </c>
      <c r="F56" t="inlineStr">
        <is>
          <t>VÄSTRA GÖTALANDS LÄN</t>
        </is>
      </c>
      <c r="G56" t="inlineStr">
        <is>
          <t>ORUST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45840</v>
      </c>
      <c r="E57" s="1" t="n">
        <v>46310</v>
      </c>
      <c r="F57" t="inlineStr">
        <is>
          <t>VÄSTRA GÖTALANDS LÄN</t>
        </is>
      </c>
      <c r="G57" t="inlineStr">
        <is>
          <t>ORUST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45840</v>
      </c>
      <c r="E58" s="1" t="n">
        <v>46310</v>
      </c>
      <c r="F58" t="inlineStr">
        <is>
          <t>VÄSTRA GÖTALANDS LÄN</t>
        </is>
      </c>
      <c r="G58" t="inlineStr">
        <is>
          <t>ORUST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34502-2025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46310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46310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47884-2024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46310</v>
      </c>
      <c r="F61" t="inlineStr">
        <is>
          <t>VÄSTRA GÖTALANDS LÄN</t>
        </is>
      </c>
      <c r="G61" t="inlineStr">
        <is>
          <t>ORUST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46310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46310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42712-2023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46310</v>
      </c>
      <c r="F64" t="inlineStr">
        <is>
          <t>VÄSTRA GÖTALANDS LÄN</t>
        </is>
      </c>
      <c r="G64" t="inlineStr">
        <is>
          <t>ORUST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45872</v>
      </c>
      <c r="E65" s="1" t="n">
        <v>46310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46310</v>
      </c>
      <c r="F66" t="inlineStr">
        <is>
          <t>VÄSTRA GÖTALANDS LÄN</t>
        </is>
      </c>
      <c r="G66" t="inlineStr">
        <is>
          <t>ORUST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50532-2024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45601</v>
      </c>
      <c r="E67" s="1" t="n">
        <v>46310</v>
      </c>
      <c r="F67" t="inlineStr">
        <is>
          <t>VÄSTRA GÖTALANDS LÄN</t>
        </is>
      </c>
      <c r="G67" t="inlineStr">
        <is>
          <t>ORUST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46310</v>
      </c>
      <c r="F68" t="inlineStr">
        <is>
          <t>VÄSTRA GÖTALANDS LÄN</t>
        </is>
      </c>
      <c r="G68" t="inlineStr">
        <is>
          <t>ORUST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45667</v>
      </c>
      <c r="E69" s="1" t="n">
        <v>46310</v>
      </c>
      <c r="F69" t="inlineStr">
        <is>
          <t>VÄSTRA GÖTALANDS LÄN</t>
        </is>
      </c>
      <c r="G69" t="inlineStr">
        <is>
          <t>ORUST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45772</v>
      </c>
      <c r="E70" s="1" t="n">
        <v>46310</v>
      </c>
      <c r="F70" t="inlineStr">
        <is>
          <t>VÄSTRA GÖTALANDS LÄN</t>
        </is>
      </c>
      <c r="G70" t="inlineStr">
        <is>
          <t>ORUST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46310</v>
      </c>
      <c r="F71" t="inlineStr">
        <is>
          <t>VÄSTRA GÖTALANDS LÄN</t>
        </is>
      </c>
      <c r="G71" t="inlineStr">
        <is>
          <t>ORUST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45187</v>
      </c>
      <c r="E72" s="1" t="n">
        <v>46310</v>
      </c>
      <c r="F72" t="inlineStr">
        <is>
          <t>VÄSTRA GÖTALANDS LÄN</t>
        </is>
      </c>
      <c r="G72" t="inlineStr">
        <is>
          <t>ORUST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46310</v>
      </c>
      <c r="F73" t="inlineStr">
        <is>
          <t>VÄSTRA GÖTALANDS LÄN</t>
        </is>
      </c>
      <c r="G73" t="inlineStr">
        <is>
          <t>ORUST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46310</v>
      </c>
      <c r="F74" t="inlineStr">
        <is>
          <t>VÄSTRA GÖTALANDS LÄN</t>
        </is>
      </c>
      <c r="G74" t="inlineStr">
        <is>
          <t>ORUST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46310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45491</v>
      </c>
      <c r="E76" s="1" t="n">
        <v>46310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46075</v>
      </c>
      <c r="E77" s="1" t="n">
        <v>46310</v>
      </c>
      <c r="F77" t="inlineStr">
        <is>
          <t>VÄSTRA GÖTALANDS LÄN</t>
        </is>
      </c>
      <c r="G77" t="inlineStr">
        <is>
          <t>ORUST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46310</v>
      </c>
      <c r="F78" t="inlineStr">
        <is>
          <t>VÄSTRA GÖTALANDS LÄN</t>
        </is>
      </c>
      <c r="G78" t="inlineStr">
        <is>
          <t>ORUST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46310</v>
      </c>
      <c r="F79" t="inlineStr">
        <is>
          <t>VÄSTRA GÖTALANDS LÄN</t>
        </is>
      </c>
      <c r="G79" t="inlineStr">
        <is>
          <t>ORUST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46310</v>
      </c>
      <c r="F80" t="inlineStr">
        <is>
          <t>VÄSTRA GÖTALANDS LÄN</t>
        </is>
      </c>
      <c r="G80" t="inlineStr">
        <is>
          <t>ORUST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46310</v>
      </c>
      <c r="F81" t="inlineStr">
        <is>
          <t>VÄSTRA GÖTALANDS LÄN</t>
        </is>
      </c>
      <c r="G81" t="inlineStr">
        <is>
          <t>ORUST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45343</v>
      </c>
      <c r="E82" s="1" t="n">
        <v>46310</v>
      </c>
      <c r="F82" t="inlineStr">
        <is>
          <t>VÄSTRA GÖTALANDS LÄN</t>
        </is>
      </c>
      <c r="G82" t="inlineStr">
        <is>
          <t>ORUST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46310</v>
      </c>
      <c r="F83" t="inlineStr">
        <is>
          <t>VÄSTRA GÖTALANDS LÄN</t>
        </is>
      </c>
      <c r="G83" t="inlineStr">
        <is>
          <t>ORUST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45005</v>
      </c>
      <c r="E84" s="1" t="n">
        <v>46310</v>
      </c>
      <c r="F84" t="inlineStr">
        <is>
          <t>VÄSTRA GÖTALANDS LÄN</t>
        </is>
      </c>
      <c r="G84" t="inlineStr">
        <is>
          <t>ORUST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46310</v>
      </c>
      <c r="F85" t="inlineStr">
        <is>
          <t>VÄSTRA GÖTALANDS LÄN</t>
        </is>
      </c>
      <c r="G85" t="inlineStr">
        <is>
          <t>ORUST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45535</v>
      </c>
      <c r="E86" s="1" t="n">
        <v>46310</v>
      </c>
      <c r="F86" t="inlineStr">
        <is>
          <t>VÄSTRA GÖTALANDS LÄN</t>
        </is>
      </c>
      <c r="G86" t="inlineStr">
        <is>
          <t>ORUST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45467</v>
      </c>
      <c r="E87" s="1" t="n">
        <v>46310</v>
      </c>
      <c r="F87" t="inlineStr">
        <is>
          <t>VÄSTRA GÖTALANDS LÄN</t>
        </is>
      </c>
      <c r="G87" t="inlineStr">
        <is>
          <t>ORUST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46120</v>
      </c>
      <c r="E88" s="1" t="n">
        <v>46310</v>
      </c>
      <c r="F88" t="inlineStr">
        <is>
          <t>VÄSTRA GÖTALANDS LÄN</t>
        </is>
      </c>
      <c r="G88" t="inlineStr">
        <is>
          <t>ORUST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46310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46310</v>
      </c>
      <c r="F90" t="inlineStr">
        <is>
          <t>VÄSTRA GÖTALANDS LÄN</t>
        </is>
      </c>
      <c r="G90" t="inlineStr">
        <is>
          <t>ORUST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45992</v>
      </c>
      <c r="E91" s="1" t="n">
        <v>46310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46310</v>
      </c>
      <c r="F92" t="inlineStr">
        <is>
          <t>VÄSTRA GÖTALANDS LÄN</t>
        </is>
      </c>
      <c r="G92" t="inlineStr">
        <is>
          <t>ORUST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44924</v>
      </c>
      <c r="E93" s="1" t="n">
        <v>46310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45791</v>
      </c>
      <c r="E94" s="1" t="n">
        <v>46310</v>
      </c>
      <c r="F94" t="inlineStr">
        <is>
          <t>VÄSTRA GÖTALANDS LÄN</t>
        </is>
      </c>
      <c r="G94" t="inlineStr">
        <is>
          <t>ORUST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46310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46310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46310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46310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46310</v>
      </c>
      <c r="F99" t="inlineStr">
        <is>
          <t>VÄSTRA GÖTALANDS LÄN</t>
        </is>
      </c>
      <c r="G99" t="inlineStr">
        <is>
          <t>ORUST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46310</v>
      </c>
      <c r="F100" t="inlineStr">
        <is>
          <t>VÄSTRA GÖTALANDS LÄN</t>
        </is>
      </c>
      <c r="G100" t="inlineStr">
        <is>
          <t>ORUST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46310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46310</v>
      </c>
      <c r="F102" t="inlineStr">
        <is>
          <t>VÄSTRA GÖTALANDS LÄN</t>
        </is>
      </c>
      <c r="G102" t="inlineStr">
        <is>
          <t>ORUST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46310</v>
      </c>
      <c r="F103" t="inlineStr">
        <is>
          <t>VÄSTRA GÖTALANDS LÄN</t>
        </is>
      </c>
      <c r="G103" t="inlineStr">
        <is>
          <t>ORUST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46310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68727-2021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46310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46310</v>
      </c>
      <c r="F106" t="inlineStr">
        <is>
          <t>VÄSTRA GÖTALANDS LÄN</t>
        </is>
      </c>
      <c r="G106" t="inlineStr">
        <is>
          <t>ORUST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46310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44792</v>
      </c>
      <c r="E108" s="1" t="n">
        <v>46310</v>
      </c>
      <c r="F108" t="inlineStr">
        <is>
          <t>VÄSTRA GÖTALANDS LÄN</t>
        </is>
      </c>
      <c r="G108" t="inlineStr">
        <is>
          <t>ORUST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46310</v>
      </c>
      <c r="F109" t="inlineStr">
        <is>
          <t>VÄSTRA GÖTALANDS LÄN</t>
        </is>
      </c>
      <c r="G109" t="inlineStr">
        <is>
          <t>ORUST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46310</v>
      </c>
      <c r="F110" t="inlineStr">
        <is>
          <t>VÄSTRA GÖTALANDS LÄN</t>
        </is>
      </c>
      <c r="G110" t="inlineStr">
        <is>
          <t>ORUST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44862</v>
      </c>
      <c r="E111" s="1" t="n">
        <v>46310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45396</v>
      </c>
      <c r="E112" s="1" t="n">
        <v>46310</v>
      </c>
      <c r="F112" t="inlineStr">
        <is>
          <t>VÄSTRA GÖTALANDS LÄN</t>
        </is>
      </c>
      <c r="G112" t="inlineStr">
        <is>
          <t>ORUST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46310</v>
      </c>
      <c r="F113" t="inlineStr">
        <is>
          <t>VÄSTRA GÖTALANDS LÄN</t>
        </is>
      </c>
      <c r="G113" t="inlineStr">
        <is>
          <t>ORUST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46310</v>
      </c>
      <c r="F114" t="inlineStr">
        <is>
          <t>VÄSTRA GÖTALANDS LÄN</t>
        </is>
      </c>
      <c r="G114" t="inlineStr">
        <is>
          <t>ORUST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46310</v>
      </c>
      <c r="F115" t="inlineStr">
        <is>
          <t>VÄSTRA GÖTALANDS LÄN</t>
        </is>
      </c>
      <c r="G115" t="inlineStr">
        <is>
          <t>ORUST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46310</v>
      </c>
      <c r="F116" t="inlineStr">
        <is>
          <t>VÄSTRA GÖTALANDS LÄN</t>
        </is>
      </c>
      <c r="G116" t="inlineStr">
        <is>
          <t>ORUST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46310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46175</v>
      </c>
      <c r="E118" s="1" t="n">
        <v>46310</v>
      </c>
      <c r="F118" t="inlineStr">
        <is>
          <t>VÄSTRA GÖTALANDS LÄN</t>
        </is>
      </c>
      <c r="G118" t="inlineStr">
        <is>
          <t>ORUST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46310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46310</v>
      </c>
      <c r="F120" t="inlineStr">
        <is>
          <t>VÄSTRA GÖTALANDS LÄN</t>
        </is>
      </c>
      <c r="G120" t="inlineStr">
        <is>
          <t>ORUST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45139</v>
      </c>
      <c r="E121" s="1" t="n">
        <v>46310</v>
      </c>
      <c r="F121" t="inlineStr">
        <is>
          <t>VÄSTRA GÖTALANDS LÄN</t>
        </is>
      </c>
      <c r="G121" t="inlineStr">
        <is>
          <t>ORUST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45339</v>
      </c>
      <c r="E122" s="1" t="n">
        <v>46310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46310</v>
      </c>
      <c r="F123" t="inlineStr">
        <is>
          <t>VÄSTRA GÖTALANDS LÄN</t>
        </is>
      </c>
      <c r="G123" t="inlineStr">
        <is>
          <t>ORUST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46310</v>
      </c>
      <c r="F124" t="inlineStr">
        <is>
          <t>VÄSTRA GÖTALANDS LÄN</t>
        </is>
      </c>
      <c r="G124" t="inlineStr">
        <is>
          <t>ORUST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45454</v>
      </c>
      <c r="E125" s="1" t="n">
        <v>46310</v>
      </c>
      <c r="F125" t="inlineStr">
        <is>
          <t>VÄSTRA GÖTALANDS LÄN</t>
        </is>
      </c>
      <c r="G125" t="inlineStr">
        <is>
          <t>ORUST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46310</v>
      </c>
      <c r="F126" t="inlineStr">
        <is>
          <t>VÄSTRA GÖTALANDS LÄN</t>
        </is>
      </c>
      <c r="G126" t="inlineStr">
        <is>
          <t>ORUST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46310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46280</v>
      </c>
      <c r="E128" s="1" t="n">
        <v>46310</v>
      </c>
      <c r="F128" t="inlineStr">
        <is>
          <t>VÄSTRA GÖTALANDS LÄN</t>
        </is>
      </c>
      <c r="G128" t="inlineStr">
        <is>
          <t>ORUST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46310</v>
      </c>
      <c r="F129" t="inlineStr">
        <is>
          <t>VÄSTRA GÖTALANDS LÄN</t>
        </is>
      </c>
      <c r="G129" t="inlineStr">
        <is>
          <t>ORUST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46310</v>
      </c>
      <c r="F130" t="inlineStr">
        <is>
          <t>VÄSTRA GÖTALANDS LÄN</t>
        </is>
      </c>
      <c r="G130" t="inlineStr">
        <is>
          <t>ORUST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45044</v>
      </c>
      <c r="E131" s="1" t="n">
        <v>46310</v>
      </c>
      <c r="F131" t="inlineStr">
        <is>
          <t>VÄSTRA GÖTALANDS LÄN</t>
        </is>
      </c>
      <c r="G131" t="inlineStr">
        <is>
          <t>ORUST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45476</v>
      </c>
      <c r="E132" s="1" t="n">
        <v>46310</v>
      </c>
      <c r="F132" t="inlineStr">
        <is>
          <t>VÄSTRA GÖTALANDS LÄN</t>
        </is>
      </c>
      <c r="G132" t="inlineStr">
        <is>
          <t>ORUST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63626-2023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45275</v>
      </c>
      <c r="E133" s="1" t="n">
        <v>46310</v>
      </c>
      <c r="F133" t="inlineStr">
        <is>
          <t>VÄSTRA GÖTALANDS LÄN</t>
        </is>
      </c>
      <c r="G133" t="inlineStr">
        <is>
          <t>ORUST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45511</v>
      </c>
      <c r="E134" s="1" t="n">
        <v>46310</v>
      </c>
      <c r="F134" t="inlineStr">
        <is>
          <t>VÄSTRA GÖTALANDS LÄN</t>
        </is>
      </c>
      <c r="G134" t="inlineStr">
        <is>
          <t>ORUST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46310</v>
      </c>
      <c r="F135" t="inlineStr">
        <is>
          <t>VÄSTRA GÖTALANDS LÄN</t>
        </is>
      </c>
      <c r="G135" t="inlineStr">
        <is>
          <t>ORUST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46251</v>
      </c>
      <c r="E136" s="1" t="n">
        <v>46310</v>
      </c>
      <c r="F136" t="inlineStr">
        <is>
          <t>VÄSTRA GÖTALANDS LÄN</t>
        </is>
      </c>
      <c r="G136" t="inlineStr">
        <is>
          <t>ORUST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45198</v>
      </c>
      <c r="E137" s="1" t="n">
        <v>46310</v>
      </c>
      <c r="F137" t="inlineStr">
        <is>
          <t>VÄSTRA GÖTALANDS LÄN</t>
        </is>
      </c>
      <c r="G137" t="inlineStr">
        <is>
          <t>ORUST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44919</v>
      </c>
      <c r="E138" s="1" t="n">
        <v>46310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44899</v>
      </c>
      <c r="E139" s="1" t="n">
        <v>46310</v>
      </c>
      <c r="F139" t="inlineStr">
        <is>
          <t>VÄSTRA GÖTALANDS LÄN</t>
        </is>
      </c>
      <c r="G139" t="inlineStr">
        <is>
          <t>ORUST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46213</v>
      </c>
      <c r="E140" s="1" t="n">
        <v>46310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45014</v>
      </c>
      <c r="E141" s="1" t="n">
        <v>46310</v>
      </c>
      <c r="F141" t="inlineStr">
        <is>
          <t>VÄSTRA GÖTALANDS LÄN</t>
        </is>
      </c>
      <c r="G141" t="inlineStr">
        <is>
          <t>ORUST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46300</v>
      </c>
      <c r="E142" s="1" t="n">
        <v>46310</v>
      </c>
      <c r="F142" t="inlineStr">
        <is>
          <t>VÄSTRA GÖTALANDS LÄN</t>
        </is>
      </c>
      <c r="G142" t="inlineStr">
        <is>
          <t>ORUST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46310</v>
      </c>
      <c r="F143" t="inlineStr">
        <is>
          <t>VÄSTRA GÖTALANDS LÄN</t>
        </is>
      </c>
      <c r="G143" t="inlineStr">
        <is>
          <t>ORUST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45130</v>
      </c>
      <c r="E144" s="1" t="n">
        <v>46310</v>
      </c>
      <c r="F144" t="inlineStr">
        <is>
          <t>VÄSTRA GÖTALANDS LÄN</t>
        </is>
      </c>
      <c r="G144" t="inlineStr">
        <is>
          <t>ORUST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46304</v>
      </c>
      <c r="E145" s="1" t="n">
        <v>46310</v>
      </c>
      <c r="F145" t="inlineStr">
        <is>
          <t>VÄSTRA GÖTALANDS LÄN</t>
        </is>
      </c>
      <c r="G145" t="inlineStr">
        <is>
          <t>ORUST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46304</v>
      </c>
      <c r="E146" s="1" t="n">
        <v>46310</v>
      </c>
      <c r="F146" t="inlineStr">
        <is>
          <t>VÄSTRA GÖTALANDS LÄN</t>
        </is>
      </c>
      <c r="G146" t="inlineStr">
        <is>
          <t>ORUST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46310</v>
      </c>
      <c r="F147" t="inlineStr">
        <is>
          <t>VÄSTRA GÖTALANDS LÄN</t>
        </is>
      </c>
      <c r="G147" t="inlineStr">
        <is>
          <t>ORUST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46310</v>
      </c>
      <c r="F148" t="inlineStr">
        <is>
          <t>VÄSTRA GÖTALANDS LÄN</t>
        </is>
      </c>
      <c r="G148" t="inlineStr">
        <is>
          <t>ORUST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45718</v>
      </c>
      <c r="E149" s="1" t="n">
        <v>46310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46310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46310</v>
      </c>
      <c r="F151" t="inlineStr">
        <is>
          <t>VÄSTRA GÖTALANDS LÄN</t>
        </is>
      </c>
      <c r="G151" t="inlineStr">
        <is>
          <t>ORUST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46310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2026-10-15T02:04:15Z</dcterms:created>
  <dcterms:modified xmlns:dcterms="http://purl.org/dc/terms/" xmlns:xsi="http://www.w3.org/2001/XMLSchema-instance" xsi:type="dcterms:W3CDTF">2026-10-15T02:04:15Z</dcterms:modified>
</cp:coreProperties>
</file>