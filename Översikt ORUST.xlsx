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46241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46241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46241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46241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46241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46241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46241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46241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46241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46241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46241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46241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HYPERLINK("https://klasma.github.io/Logging_1421/artfynd/A 24618-2024 artfynd.xlsx", "A 24618-2024")</f>
        <v/>
      </c>
      <c r="X13">
        <f>HYPERLINK("https://klasma.github.io/Logging_1421/kartor/A 24618-2024 karta.png", "A 24618-2024")</f>
        <v/>
      </c>
      <c r="Y13">
        <f>HYPERLINK("https://klasma.github.io/Logging_1421/kartor_geotiff/A 24618-2024 georefererad karta.tif", "A 24618-2024")</f>
        <v/>
      </c>
      <c r="AA13">
        <f>HYPERLINK("https://klasma.github.io/Logging_1421/klagomål/A 24618-2024 FSC-klagomål.docx", "A 24618-2024")</f>
        <v/>
      </c>
      <c r="AB13">
        <f>HYPERLINK("https://klasma.github.io/Logging_1421/klagomålsmail/A 24618-2024 FSC-klagomål mail.docx", "A 24618-2024")</f>
        <v/>
      </c>
      <c r="AC13">
        <f>HYPERLINK("https://klasma.github.io/Logging_1421/tillsyn/A 24618-2024 tillsynsbegäran.docx", "A 24618-2024")</f>
        <v/>
      </c>
      <c r="AD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46241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46241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46241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HYPERLINK("https://klasma.github.io/Logging_1421/artfynd/A 49047-2025 artfynd.xlsx", "A 49047-2025")</f>
        <v/>
      </c>
      <c r="X16">
        <f>HYPERLINK("https://klasma.github.io/Logging_1421/kartor/A 49047-2025 karta.png", "A 49047-2025")</f>
        <v/>
      </c>
      <c r="Y16">
        <f>HYPERLINK("https://klasma.github.io/Logging_1421/kartor_geotiff/A 49047-2025 georefererad karta.tif", "A 49047-2025")</f>
        <v/>
      </c>
      <c r="AA16">
        <f>HYPERLINK("https://klasma.github.io/Logging_1421/klagomål/A 49047-2025 FSC-klagomål.docx", "A 49047-2025")</f>
        <v/>
      </c>
      <c r="AB16">
        <f>HYPERLINK("https://klasma.github.io/Logging_1421/klagomålsmail/A 49047-2025 FSC-klagomål mail.docx", "A 49047-2025")</f>
        <v/>
      </c>
      <c r="AC16">
        <f>HYPERLINK("https://klasma.github.io/Logging_1421/tillsyn/A 49047-2025 tillsynsbegäran.docx", "A 49047-2025")</f>
        <v/>
      </c>
      <c r="AD16">
        <f>HYPERLINK("https://klasma.github.io/Logging_1421/tillsynsmail/A 49047-2025 tillsynsbegäran mail.docx", "A 49047-2025")</f>
        <v/>
      </c>
    </row>
    <row r="17" ht="15" customHeight="1">
      <c r="A17" t="inlineStr">
        <is>
          <t>A 5617-2024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46241</v>
      </c>
      <c r="F17" t="inlineStr">
        <is>
          <t>VÄSTRA GÖTALANDS LÄN</t>
        </is>
      </c>
      <c r="G17" t="inlineStr">
        <is>
          <t>ORUST</t>
        </is>
      </c>
      <c r="I17" t="n">
        <v>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5617-2024 artfynd.xlsx", "A 5617-2024")</f>
        <v/>
      </c>
      <c r="X17">
        <f>HYPERLINK("https://klasma.github.io/Logging_1421/kartor/A 5617-2024 karta.png", "A 5617-2024")</f>
        <v/>
      </c>
      <c r="Y17">
        <f>HYPERLINK("https://klasma.github.io/Logging_1421/kartor_geotiff/A 5617-2024 georefererad karta.tif", "A 5617-2024")</f>
        <v/>
      </c>
      <c r="Z17">
        <f>HYPERLINK("https://klasma.github.io/Logging_1421/knärot/A 5617-2024 karta knärot.png", "A 5617-2024")</f>
        <v/>
      </c>
      <c r="AA17">
        <f>HYPERLINK("https://klasma.github.io/Logging_1421/klagomål/A 5617-2024 FSC-klagomål.docx", "A 5617-2024")</f>
        <v/>
      </c>
      <c r="AB17">
        <f>HYPERLINK("https://klasma.github.io/Logging_1421/klagomålsmail/A 5617-2024 FSC-klagomål mail.docx", "A 5617-2024")</f>
        <v/>
      </c>
      <c r="AC17">
        <f>HYPERLINK("https://klasma.github.io/Logging_1421/tillsyn/A 5617-2024 tillsynsbegäran.docx", "A 5617-2024")</f>
        <v/>
      </c>
      <c r="AD17">
        <f>HYPERLINK("https://klasma.github.io/Logging_1421/tillsynsmail/A 5617-2024 tillsynsbegäran mail.docx", "A 5617-2024")</f>
        <v/>
      </c>
    </row>
    <row r="18" ht="15" customHeight="1">
      <c r="A18" t="inlineStr">
        <is>
          <t>A 44233-2023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45183</v>
      </c>
      <c r="E18" s="1" t="n">
        <v>46241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44233-2023 artfynd.xlsx", "A 44233-2023")</f>
        <v/>
      </c>
      <c r="X18">
        <f>HYPERLINK("https://klasma.github.io/Logging_1421/kartor/A 44233-2023 karta.png", "A 44233-2023")</f>
        <v/>
      </c>
      <c r="Y18">
        <f>HYPERLINK("https://klasma.github.io/Logging_1421/kartor_geotiff/A 44233-2023 georefererad karta.tif", "A 44233-2023")</f>
        <v/>
      </c>
      <c r="Z18">
        <f>HYPERLINK("https://klasma.github.io/Logging_1421/knärot/A 44233-2023 karta knärot.png", "A 44233-2023")</f>
        <v/>
      </c>
      <c r="AA18">
        <f>HYPERLINK("https://klasma.github.io/Logging_1421/klagomål/A 44233-2023 FSC-klagomål.docx", "A 44233-2023")</f>
        <v/>
      </c>
      <c r="AB18">
        <f>HYPERLINK("https://klasma.github.io/Logging_1421/klagomålsmail/A 44233-2023 FSC-klagomål mail.docx", "A 44233-2023")</f>
        <v/>
      </c>
      <c r="AC18">
        <f>HYPERLINK("https://klasma.github.io/Logging_1421/tillsyn/A 44233-2023 tillsynsbegäran.docx", "A 44233-2023")</f>
        <v/>
      </c>
      <c r="AD18">
        <f>HYPERLINK("https://klasma.github.io/Logging_1421/tillsynsmail/A 44233-2023 tillsynsbegäran mail.docx", "A 44233-2023")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46241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56035-2025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45973</v>
      </c>
      <c r="E20" s="1" t="n">
        <v>46241</v>
      </c>
      <c r="F20" t="inlineStr">
        <is>
          <t>VÄSTRA GÖTALANDS LÄN</t>
        </is>
      </c>
      <c r="G20" t="inlineStr">
        <is>
          <t>ORUST</t>
        </is>
      </c>
      <c r="I20" t="n">
        <v>15.9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Knärot</t>
        </is>
      </c>
      <c r="W20">
        <f>HYPERLINK("https://klasma.github.io/Logging_1421/artfynd/A 56035-2025 artfynd.xlsx", "A 56035-2025")</f>
        <v/>
      </c>
      <c r="X20">
        <f>HYPERLINK("https://klasma.github.io/Logging_1421/kartor/A 56035-2025 karta.png", "A 56035-2025")</f>
        <v/>
      </c>
      <c r="Y20">
        <f>HYPERLINK("https://klasma.github.io/Logging_1421/kartor_geotiff/A 56035-2025 georefererad karta.tif", "A 56035-2025")</f>
        <v/>
      </c>
      <c r="Z20">
        <f>HYPERLINK("https://klasma.github.io/Logging_1421/knärot/A 56035-2025 karta knärot.png", "A 56035-2025")</f>
        <v/>
      </c>
      <c r="AA20">
        <f>HYPERLINK("https://klasma.github.io/Logging_1421/klagomål/A 56035-2025 FSC-klagomål.docx", "A 56035-2025")</f>
        <v/>
      </c>
      <c r="AB20">
        <f>HYPERLINK("https://klasma.github.io/Logging_1421/klagomålsmail/A 56035-2025 FSC-klagomål mail.docx", "A 56035-2025")</f>
        <v/>
      </c>
      <c r="AC20">
        <f>HYPERLINK("https://klasma.github.io/Logging_1421/tillsyn/A 56035-2025 tillsynsbegäran.docx", "A 56035-2025")</f>
        <v/>
      </c>
      <c r="AD20">
        <f>HYPERLINK("https://klasma.github.io/Logging_1421/tillsynsmail/A 56035-2025 tillsynsbegäran mail.docx", "A 56035-2025")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46241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12722-2026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46091</v>
      </c>
      <c r="E22" s="1" t="n">
        <v>46241</v>
      </c>
      <c r="F22" t="inlineStr">
        <is>
          <t>VÄSTRA GÖTALANDS LÄN</t>
        </is>
      </c>
      <c r="G22" t="inlineStr">
        <is>
          <t>ORUST</t>
        </is>
      </c>
      <c r="I22" t="n">
        <v>7.4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12722-2026 artfynd.xlsx", "A 12722-2026")</f>
        <v/>
      </c>
      <c r="X22">
        <f>HYPERLINK("https://klasma.github.io/Logging_1421/kartor/A 12722-2026 karta.png", "A 12722-2026")</f>
        <v/>
      </c>
      <c r="Y22">
        <f>HYPERLINK("https://klasma.github.io/Logging_1421/kartor_geotiff/A 12722-2026 georefererad karta.tif", "A 12722-2026")</f>
        <v/>
      </c>
      <c r="Z22">
        <f>HYPERLINK("https://klasma.github.io/Logging_1421/knärot/A 12722-2026 karta knärot.png", "A 12722-2026")</f>
        <v/>
      </c>
      <c r="AA22">
        <f>HYPERLINK("https://klasma.github.io/Logging_1421/klagomål/A 12722-2026 FSC-klagomål.docx", "A 12722-2026")</f>
        <v/>
      </c>
      <c r="AB22">
        <f>HYPERLINK("https://klasma.github.io/Logging_1421/klagomålsmail/A 12722-2026 FSC-klagomål mail.docx", "A 12722-2026")</f>
        <v/>
      </c>
      <c r="AC22">
        <f>HYPERLINK("https://klasma.github.io/Logging_1421/tillsyn/A 12722-2026 tillsynsbegäran.docx", "A 12722-2026")</f>
        <v/>
      </c>
      <c r="AD22">
        <f>HYPERLINK("https://klasma.github.io/Logging_1421/tillsynsmail/A 12722-2026 tillsynsbegäran mail.docx", "A 12722-2026")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46241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46241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46241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46241</v>
      </c>
      <c r="F26" t="inlineStr">
        <is>
          <t>VÄSTRA GÖTALANDS LÄN</t>
        </is>
      </c>
      <c r="G26" t="inlineStr">
        <is>
          <t>ORUST</t>
        </is>
      </c>
      <c r="I26" t="n">
        <v>4.3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4</v>
      </c>
      <c r="V26" s="2" t="inlineStr">
        <is>
          <t>Knärot</t>
        </is>
      </c>
      <c r="W26">
        <f>HYPERLINK("https://klasma.github.io/Logging_1421/artfynd/A 20709-2023 artfynd.xlsx", "A 20709-2023")</f>
        <v/>
      </c>
      <c r="X26">
        <f>HYPERLINK("https://klasma.github.io/Logging_1421/kartor/A 20709-2023 karta.png", "A 20709-2023")</f>
        <v/>
      </c>
      <c r="Y26">
        <f>HYPERLINK("https://klasma.github.io/Logging_1421/kartor_geotiff/A 20709-2023 georefererad karta.tif", "A 20709-2023")</f>
        <v/>
      </c>
      <c r="Z26">
        <f>HYPERLINK("https://klasma.github.io/Logging_1421/knärot/A 20709-2023 karta knärot.png", "A 20709-2023")</f>
        <v/>
      </c>
      <c r="AA26">
        <f>HYPERLINK("https://klasma.github.io/Logging_1421/klagomål/A 20709-2023 FSC-klagomål.docx", "A 20709-2023")</f>
        <v/>
      </c>
      <c r="AB26">
        <f>HYPERLINK("https://klasma.github.io/Logging_1421/klagomålsmail/A 20709-2023 FSC-klagomål mail.docx", "A 20709-2023")</f>
        <v/>
      </c>
      <c r="AC26">
        <f>HYPERLINK("https://klasma.github.io/Logging_1421/tillsyn/A 20709-2023 tillsynsbegäran.docx", "A 20709-2023")</f>
        <v/>
      </c>
      <c r="AD26">
        <f>HYPERLINK("https://klasma.github.io/Logging_1421/tillsynsmail/A 20709-2023 tillsynsbegäran mail.docx", "A 20709-2023")</f>
        <v/>
      </c>
    </row>
    <row r="27" ht="15" customHeight="1">
      <c r="A27" t="inlineStr">
        <is>
          <t>A 40270-2024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46241</v>
      </c>
      <c r="F27" t="inlineStr">
        <is>
          <t>VÄSTRA GÖTALANDS LÄN</t>
        </is>
      </c>
      <c r="G27" t="inlineStr">
        <is>
          <t>ORUST</t>
        </is>
      </c>
      <c r="I27" t="n">
        <v>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40270-2024 artfynd.xlsx", "A 40270-2024")</f>
        <v/>
      </c>
      <c r="X27">
        <f>HYPERLINK("https://klasma.github.io/Logging_1421/kartor/A 40270-2024 karta.png", "A 40270-2024")</f>
        <v/>
      </c>
      <c r="Y27">
        <f>HYPERLINK("https://klasma.github.io/Logging_1421/kartor_geotiff/A 40270-2024 georefererad karta.tif", "A 40270-2024")</f>
        <v/>
      </c>
      <c r="Z27">
        <f>HYPERLINK("https://klasma.github.io/Logging_1421/knärot/A 40270-2024 karta knärot.png", "A 40270-2024")</f>
        <v/>
      </c>
      <c r="AA27">
        <f>HYPERLINK("https://klasma.github.io/Logging_1421/klagomål/A 40270-2024 FSC-klagomål.docx", "A 40270-2024")</f>
        <v/>
      </c>
      <c r="AB27">
        <f>HYPERLINK("https://klasma.github.io/Logging_1421/klagomålsmail/A 40270-2024 FSC-klagomål mail.docx", "A 40270-2024")</f>
        <v/>
      </c>
      <c r="AC27">
        <f>HYPERLINK("https://klasma.github.io/Logging_1421/tillsyn/A 40270-2024 tillsynsbegäran.docx", "A 40270-2024")</f>
        <v/>
      </c>
      <c r="AD27">
        <f>HYPERLINK("https://klasma.github.io/Logging_1421/tillsynsmail/A 40270-2024 tillsynsbegäran mail.docx", "A 40270-2024")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46241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46241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46241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46241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46241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46241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46241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46241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46241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46241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46241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46241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46241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46241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46241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46241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46241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46241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46241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46241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46241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46241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46241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46241</v>
      </c>
      <c r="F51" t="inlineStr">
        <is>
          <t>VÄSTRA GÖTALANDS LÄN</t>
        </is>
      </c>
      <c r="G51" t="inlineStr">
        <is>
          <t>ORUST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46241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46241</v>
      </c>
      <c r="F53" t="inlineStr">
        <is>
          <t>VÄSTRA GÖTALANDS LÄN</t>
        </is>
      </c>
      <c r="G53" t="inlineStr">
        <is>
          <t>ORUST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46241</v>
      </c>
      <c r="F54" t="inlineStr">
        <is>
          <t>VÄSTRA GÖTALANDS LÄN</t>
        </is>
      </c>
      <c r="G54" t="inlineStr">
        <is>
          <t>ORUST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46241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46241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45454</v>
      </c>
      <c r="E57" s="1" t="n">
        <v>46241</v>
      </c>
      <c r="F57" t="inlineStr">
        <is>
          <t>VÄSTRA GÖTALANDS LÄN</t>
        </is>
      </c>
      <c r="G57" t="inlineStr">
        <is>
          <t>ORUST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46241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46241</v>
      </c>
      <c r="F59" t="inlineStr">
        <is>
          <t>VÄSTRA GÖTALANDS LÄN</t>
        </is>
      </c>
      <c r="G59" t="inlineStr">
        <is>
          <t>ORUST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46241</v>
      </c>
      <c r="F60" t="inlineStr">
        <is>
          <t>VÄSTRA GÖTALANDS LÄN</t>
        </is>
      </c>
      <c r="G60" t="inlineStr">
        <is>
          <t>ORUST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46241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44924</v>
      </c>
      <c r="E62" s="1" t="n">
        <v>46241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46241</v>
      </c>
      <c r="F63" t="inlineStr">
        <is>
          <t>VÄSTRA GÖTALANDS LÄN</t>
        </is>
      </c>
      <c r="G63" t="inlineStr">
        <is>
          <t>ORUST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46241</v>
      </c>
      <c r="F64" t="inlineStr">
        <is>
          <t>VÄSTRA GÖTALANDS LÄN</t>
        </is>
      </c>
      <c r="G64" t="inlineStr">
        <is>
          <t>ORUST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46241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44872</v>
      </c>
      <c r="E66" s="1" t="n">
        <v>46241</v>
      </c>
      <c r="F66" t="inlineStr">
        <is>
          <t>VÄSTRA GÖTALANDS LÄN</t>
        </is>
      </c>
      <c r="G66" t="inlineStr">
        <is>
          <t>ORUST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46241</v>
      </c>
      <c r="F67" t="inlineStr">
        <is>
          <t>VÄSTRA GÖTALANDS LÄN</t>
        </is>
      </c>
      <c r="G67" t="inlineStr">
        <is>
          <t>ORUST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45872</v>
      </c>
      <c r="E68" s="1" t="n">
        <v>46241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45601</v>
      </c>
      <c r="E69" s="1" t="n">
        <v>46241</v>
      </c>
      <c r="F69" t="inlineStr">
        <is>
          <t>VÄSTRA GÖTALANDS LÄN</t>
        </is>
      </c>
      <c r="G69" t="inlineStr">
        <is>
          <t>ORUST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46241</v>
      </c>
      <c r="F70" t="inlineStr">
        <is>
          <t>VÄSTRA GÖTALANDS LÄN</t>
        </is>
      </c>
      <c r="G70" t="inlineStr">
        <is>
          <t>ORUST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46241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34354-2023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46241</v>
      </c>
      <c r="F72" t="inlineStr">
        <is>
          <t>VÄSTRA GÖTALANDS LÄN</t>
        </is>
      </c>
      <c r="G72" t="inlineStr">
        <is>
          <t>ORUST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46241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46241</v>
      </c>
      <c r="F74" t="inlineStr">
        <is>
          <t>VÄSTRA GÖTALANDS LÄN</t>
        </is>
      </c>
      <c r="G74" t="inlineStr">
        <is>
          <t>ORUST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45130</v>
      </c>
      <c r="E75" s="1" t="n">
        <v>46241</v>
      </c>
      <c r="F75" t="inlineStr">
        <is>
          <t>VÄSTRA GÖTALANDS LÄN</t>
        </is>
      </c>
      <c r="G75" t="inlineStr">
        <is>
          <t>ORUST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46241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46241</v>
      </c>
      <c r="F77" t="inlineStr">
        <is>
          <t>VÄSTRA GÖTALANDS LÄN</t>
        </is>
      </c>
      <c r="G77" t="inlineStr">
        <is>
          <t>ORUST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46241</v>
      </c>
      <c r="F78" t="inlineStr">
        <is>
          <t>VÄSTRA GÖTALANDS LÄN</t>
        </is>
      </c>
      <c r="G78" t="inlineStr">
        <is>
          <t>ORUST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49134-2021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44453</v>
      </c>
      <c r="E79" s="1" t="n">
        <v>46241</v>
      </c>
      <c r="F79" t="inlineStr">
        <is>
          <t>VÄSTRA GÖTALANDS LÄN</t>
        </is>
      </c>
      <c r="G79" t="inlineStr">
        <is>
          <t>ORUST</t>
        </is>
      </c>
      <c r="H79" t="inlineStr">
        <is>
          <t>Kommuner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46241</v>
      </c>
      <c r="F80" t="inlineStr">
        <is>
          <t>VÄSTRA GÖTALANDS LÄN</t>
        </is>
      </c>
      <c r="G80" t="inlineStr">
        <is>
          <t>ORUST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46241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46241</v>
      </c>
      <c r="F82" t="inlineStr">
        <is>
          <t>VÄSTRA GÖTALANDS LÄN</t>
        </is>
      </c>
      <c r="G82" t="inlineStr">
        <is>
          <t>ORUST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56496-2021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44480</v>
      </c>
      <c r="E83" s="1" t="n">
        <v>46241</v>
      </c>
      <c r="F83" t="inlineStr">
        <is>
          <t>VÄSTRA GÖTALANDS LÄN</t>
        </is>
      </c>
      <c r="G83" t="inlineStr">
        <is>
          <t>ORUST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46241</v>
      </c>
      <c r="F84" t="inlineStr">
        <is>
          <t>VÄSTRA GÖTALANDS LÄN</t>
        </is>
      </c>
      <c r="G84" t="inlineStr">
        <is>
          <t>ORUST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46241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45014</v>
      </c>
      <c r="E86" s="1" t="n">
        <v>46241</v>
      </c>
      <c r="F86" t="inlineStr">
        <is>
          <t>VÄSTRA GÖTALANDS LÄN</t>
        </is>
      </c>
      <c r="G86" t="inlineStr">
        <is>
          <t>ORUST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46241</v>
      </c>
      <c r="F87" t="inlineStr">
        <is>
          <t>VÄSTRA GÖTALANDS LÄN</t>
        </is>
      </c>
      <c r="G87" t="inlineStr">
        <is>
          <t>ORUST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46241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46241</v>
      </c>
      <c r="F89" t="inlineStr">
        <is>
          <t>VÄSTRA GÖTALANDS LÄN</t>
        </is>
      </c>
      <c r="G89" t="inlineStr">
        <is>
          <t>ORUST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45535</v>
      </c>
      <c r="E90" s="1" t="n">
        <v>46241</v>
      </c>
      <c r="F90" t="inlineStr">
        <is>
          <t>VÄSTRA GÖTALANDS LÄN</t>
        </is>
      </c>
      <c r="G90" t="inlineStr">
        <is>
          <t>ORUST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46241</v>
      </c>
      <c r="F91" t="inlineStr">
        <is>
          <t>VÄSTRA GÖTALANDS LÄN</t>
        </is>
      </c>
      <c r="G91" t="inlineStr">
        <is>
          <t>ORUST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46241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68727-2021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46241</v>
      </c>
      <c r="F93" t="inlineStr">
        <is>
          <t>VÄSTRA GÖTALANDS LÄN</t>
        </is>
      </c>
      <c r="G93" t="inlineStr">
        <is>
          <t>ORUST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46241</v>
      </c>
      <c r="F94" t="inlineStr">
        <is>
          <t>VÄSTRA GÖTALANDS LÄN</t>
        </is>
      </c>
      <c r="G94" t="inlineStr">
        <is>
          <t>ORUST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46241</v>
      </c>
      <c r="F95" t="inlineStr">
        <is>
          <t>VÄSTRA GÖTALANDS LÄN</t>
        </is>
      </c>
      <c r="G95" t="inlineStr">
        <is>
          <t>ORUST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46241</v>
      </c>
      <c r="F96" t="inlineStr">
        <is>
          <t>VÄSTRA GÖTALANDS LÄN</t>
        </is>
      </c>
      <c r="G96" t="inlineStr">
        <is>
          <t>ORUST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46241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45992</v>
      </c>
      <c r="E98" s="1" t="n">
        <v>46241</v>
      </c>
      <c r="F98" t="inlineStr">
        <is>
          <t>VÄSTRA GÖTALANDS LÄN</t>
        </is>
      </c>
      <c r="G98" t="inlineStr">
        <is>
          <t>ORUST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44919</v>
      </c>
      <c r="E99" s="1" t="n">
        <v>46241</v>
      </c>
      <c r="F99" t="inlineStr">
        <is>
          <t>VÄSTRA GÖTALANDS LÄN</t>
        </is>
      </c>
      <c r="G99" t="inlineStr">
        <is>
          <t>ORUST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46241</v>
      </c>
      <c r="F100" t="inlineStr">
        <is>
          <t>VÄSTRA GÖTALANDS LÄN</t>
        </is>
      </c>
      <c r="G100" t="inlineStr">
        <is>
          <t>ORUST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46241</v>
      </c>
      <c r="F101" t="inlineStr">
        <is>
          <t>VÄSTRA GÖTALANDS LÄN</t>
        </is>
      </c>
      <c r="G101" t="inlineStr">
        <is>
          <t>ORUST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46241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46241</v>
      </c>
      <c r="F103" t="inlineStr">
        <is>
          <t>VÄSTRA GÖTALANDS LÄN</t>
        </is>
      </c>
      <c r="G103" t="inlineStr">
        <is>
          <t>ORUST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45275</v>
      </c>
      <c r="E104" s="1" t="n">
        <v>46241</v>
      </c>
      <c r="F104" t="inlineStr">
        <is>
          <t>VÄSTRA GÖTALANDS LÄN</t>
        </is>
      </c>
      <c r="G104" t="inlineStr">
        <is>
          <t>ORUST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46241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46241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46241</v>
      </c>
      <c r="F107" t="inlineStr">
        <is>
          <t>VÄSTRA GÖTALANDS LÄN</t>
        </is>
      </c>
      <c r="G107" t="inlineStr">
        <is>
          <t>ORUST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46241</v>
      </c>
      <c r="F108" t="inlineStr">
        <is>
          <t>VÄSTRA GÖTALANDS LÄN</t>
        </is>
      </c>
      <c r="G108" t="inlineStr">
        <is>
          <t>ORUST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45396</v>
      </c>
      <c r="E109" s="1" t="n">
        <v>46241</v>
      </c>
      <c r="F109" t="inlineStr">
        <is>
          <t>VÄSTRA GÖTALANDS LÄN</t>
        </is>
      </c>
      <c r="G109" t="inlineStr">
        <is>
          <t>ORUST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46241</v>
      </c>
      <c r="F110" t="inlineStr">
        <is>
          <t>VÄSTRA GÖTALANDS LÄN</t>
        </is>
      </c>
      <c r="G110" t="inlineStr">
        <is>
          <t>ORUST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46241</v>
      </c>
      <c r="F111" t="inlineStr">
        <is>
          <t>VÄSTRA GÖTALANDS LÄN</t>
        </is>
      </c>
      <c r="G111" t="inlineStr">
        <is>
          <t>ORUST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46241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46167</v>
      </c>
      <c r="E113" s="1" t="n">
        <v>46241</v>
      </c>
      <c r="F113" t="inlineStr">
        <is>
          <t>VÄSTRA GÖTALANDS LÄN</t>
        </is>
      </c>
      <c r="G113" t="inlineStr">
        <is>
          <t>ORUST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46065</v>
      </c>
      <c r="E114" s="1" t="n">
        <v>46241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46241</v>
      </c>
      <c r="F115" t="inlineStr">
        <is>
          <t>VÄSTRA GÖTALANDS LÄN</t>
        </is>
      </c>
      <c r="G115" t="inlineStr">
        <is>
          <t>ORUST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46241</v>
      </c>
      <c r="F116" t="inlineStr">
        <is>
          <t>VÄSTRA GÖTALANDS LÄN</t>
        </is>
      </c>
      <c r="G116" t="inlineStr">
        <is>
          <t>ORUST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46241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46075</v>
      </c>
      <c r="E118" s="1" t="n">
        <v>46241</v>
      </c>
      <c r="F118" t="inlineStr">
        <is>
          <t>VÄSTRA GÖTALANDS LÄN</t>
        </is>
      </c>
      <c r="G118" t="inlineStr">
        <is>
          <t>ORUST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46241</v>
      </c>
      <c r="F119" t="inlineStr">
        <is>
          <t>VÄSTRA GÖTALANDS LÄN</t>
        </is>
      </c>
      <c r="G119" t="inlineStr">
        <is>
          <t>ORUST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46241</v>
      </c>
      <c r="F120" t="inlineStr">
        <is>
          <t>VÄSTRA GÖTALANDS LÄN</t>
        </is>
      </c>
      <c r="G120" t="inlineStr">
        <is>
          <t>ORUST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46241</v>
      </c>
      <c r="F121" t="inlineStr">
        <is>
          <t>VÄSTRA GÖTALANDS LÄN</t>
        </is>
      </c>
      <c r="G121" t="inlineStr">
        <is>
          <t>ORUST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46241</v>
      </c>
      <c r="F122" t="inlineStr">
        <is>
          <t>VÄSTRA GÖTALANDS LÄN</t>
        </is>
      </c>
      <c r="G122" t="inlineStr">
        <is>
          <t>ORUST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44791</v>
      </c>
      <c r="E123" s="1" t="n">
        <v>46241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46241</v>
      </c>
      <c r="F124" t="inlineStr">
        <is>
          <t>VÄSTRA GÖTALANDS LÄN</t>
        </is>
      </c>
      <c r="G124" t="inlineStr">
        <is>
          <t>ORUST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46241</v>
      </c>
      <c r="F125" t="inlineStr">
        <is>
          <t>VÄSTRA GÖTALANDS LÄN</t>
        </is>
      </c>
      <c r="G125" t="inlineStr">
        <is>
          <t>ORUST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46241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46241</v>
      </c>
      <c r="F127" t="inlineStr">
        <is>
          <t>VÄSTRA GÖTALANDS LÄN</t>
        </is>
      </c>
      <c r="G127" t="inlineStr">
        <is>
          <t>ORUST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45045</v>
      </c>
      <c r="E128" s="1" t="n">
        <v>46241</v>
      </c>
      <c r="F128" t="inlineStr">
        <is>
          <t>VÄSTRA GÖTALANDS LÄN</t>
        </is>
      </c>
      <c r="G128" t="inlineStr">
        <is>
          <t>ORUST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46241</v>
      </c>
      <c r="F129" t="inlineStr">
        <is>
          <t>VÄSTRA GÖTALANDS LÄN</t>
        </is>
      </c>
      <c r="G129" t="inlineStr">
        <is>
          <t>ORUST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45641</v>
      </c>
      <c r="E130" s="1" t="n">
        <v>46241</v>
      </c>
      <c r="F130" t="inlineStr">
        <is>
          <t>VÄSTRA GÖTALANDS LÄN</t>
        </is>
      </c>
      <c r="G130" t="inlineStr">
        <is>
          <t>ORUST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44899</v>
      </c>
      <c r="E131" s="1" t="n">
        <v>46241</v>
      </c>
      <c r="F131" t="inlineStr">
        <is>
          <t>VÄSTRA GÖTALANDS LÄN</t>
        </is>
      </c>
      <c r="G131" t="inlineStr">
        <is>
          <t>ORUST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45005</v>
      </c>
      <c r="E132" s="1" t="n">
        <v>46241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46213</v>
      </c>
      <c r="E133" s="1" t="n">
        <v>46241</v>
      </c>
      <c r="F133" t="inlineStr">
        <is>
          <t>VÄSTRA GÖTALANDS LÄN</t>
        </is>
      </c>
      <c r="G133" t="inlineStr">
        <is>
          <t>ORUST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46241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46241</v>
      </c>
      <c r="F135" t="inlineStr">
        <is>
          <t>VÄSTRA GÖTALANDS LÄN</t>
        </is>
      </c>
      <c r="G135" t="inlineStr">
        <is>
          <t>ORUST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46241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46241</v>
      </c>
      <c r="F137" t="inlineStr">
        <is>
          <t>VÄSTRA GÖTALANDS LÄN</t>
        </is>
      </c>
      <c r="G137" t="inlineStr">
        <is>
          <t>ORUST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46241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49134-2021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44453</v>
      </c>
      <c r="E139" s="1" t="n">
        <v>46241</v>
      </c>
      <c r="F139" t="inlineStr">
        <is>
          <t>VÄSTRA GÖTALANDS LÄN</t>
        </is>
      </c>
      <c r="G139" t="inlineStr">
        <is>
          <t>ORUST</t>
        </is>
      </c>
      <c r="H139" t="inlineStr">
        <is>
          <t>Kommuner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46241</v>
      </c>
      <c r="F140" t="inlineStr">
        <is>
          <t>VÄSTRA GÖTALANDS LÄN</t>
        </is>
      </c>
      <c r="G140" t="inlineStr">
        <is>
          <t>ORUST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46241</v>
      </c>
      <c r="F141" t="inlineStr">
        <is>
          <t>VÄSTRA GÖTALANDS LÄN</t>
        </is>
      </c>
      <c r="G141" t="inlineStr">
        <is>
          <t>ORUST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46241</v>
      </c>
      <c r="F142" t="inlineStr">
        <is>
          <t>VÄSTRA GÖTALANDS LÄN</t>
        </is>
      </c>
      <c r="G142" t="inlineStr">
        <is>
          <t>ORUST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46241</v>
      </c>
      <c r="F143" t="inlineStr">
        <is>
          <t>VÄSTRA GÖTALANDS LÄN</t>
        </is>
      </c>
      <c r="G143" t="inlineStr">
        <is>
          <t>ORUST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45339</v>
      </c>
      <c r="E144" s="1" t="n">
        <v>46241</v>
      </c>
      <c r="F144" t="inlineStr">
        <is>
          <t>VÄSTRA GÖTALANDS LÄN</t>
        </is>
      </c>
      <c r="G144" t="inlineStr">
        <is>
          <t>ORUST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46241</v>
      </c>
      <c r="F145" t="inlineStr">
        <is>
          <t>VÄSTRA GÖTALANDS LÄN</t>
        </is>
      </c>
      <c r="G145" t="inlineStr">
        <is>
          <t>ORUST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46241</v>
      </c>
      <c r="F146" t="inlineStr">
        <is>
          <t>VÄSTRA GÖTALANDS LÄN</t>
        </is>
      </c>
      <c r="G146" t="inlineStr">
        <is>
          <t>ORUST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45601</v>
      </c>
      <c r="E147" s="1" t="n">
        <v>46241</v>
      </c>
      <c r="F147" t="inlineStr">
        <is>
          <t>VÄSTRA GÖTALANDS LÄN</t>
        </is>
      </c>
      <c r="G147" t="inlineStr">
        <is>
          <t>ORUST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46241</v>
      </c>
      <c r="F148" t="inlineStr">
        <is>
          <t>VÄSTRA GÖTALANDS LÄN</t>
        </is>
      </c>
      <c r="G148" t="inlineStr">
        <is>
          <t>ORUST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46241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45718</v>
      </c>
      <c r="E150" s="1" t="n">
        <v>46241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46241</v>
      </c>
      <c r="F151" t="inlineStr">
        <is>
          <t>VÄSTRA GÖTALANDS LÄN</t>
        </is>
      </c>
      <c r="G151" t="inlineStr">
        <is>
          <t>ORUST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46241</v>
      </c>
      <c r="F152" t="inlineStr">
        <is>
          <t>VÄSTRA GÖTALANDS LÄN</t>
        </is>
      </c>
      <c r="G152" t="inlineStr">
        <is>
          <t>ORUST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45742</v>
      </c>
      <c r="E153" s="1" t="n">
        <v>46241</v>
      </c>
      <c r="F153" t="inlineStr">
        <is>
          <t>VÄSTRA GÖTALANDS LÄN</t>
        </is>
      </c>
      <c r="G153" t="inlineStr">
        <is>
          <t>ORUST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46241</v>
      </c>
      <c r="F154" t="inlineStr">
        <is>
          <t>VÄSTRA GÖTALANDS LÄN</t>
        </is>
      </c>
      <c r="G154" t="inlineStr">
        <is>
          <t>ORUST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46241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46241</v>
      </c>
      <c r="F156" t="inlineStr">
        <is>
          <t>VÄSTRA GÖTALANDS LÄN</t>
        </is>
      </c>
      <c r="G156" t="inlineStr">
        <is>
          <t>ORUST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45574</v>
      </c>
      <c r="E157" s="1" t="n">
        <v>46241</v>
      </c>
      <c r="F157" t="inlineStr">
        <is>
          <t>VÄSTRA GÖTALANDS LÄN</t>
        </is>
      </c>
      <c r="G157" t="inlineStr">
        <is>
          <t>ORUST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46241</v>
      </c>
      <c r="F158" t="inlineStr">
        <is>
          <t>VÄSTRA GÖTALANDS LÄN</t>
        </is>
      </c>
      <c r="G158" t="inlineStr">
        <is>
          <t>ORUST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46241</v>
      </c>
      <c r="F159" t="inlineStr">
        <is>
          <t>VÄSTRA GÖTALANDS LÄN</t>
        </is>
      </c>
      <c r="G159" t="inlineStr">
        <is>
          <t>ORUST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46241</v>
      </c>
      <c r="F160" t="inlineStr">
        <is>
          <t>VÄSTRA GÖTALANDS LÄN</t>
        </is>
      </c>
      <c r="G160" t="inlineStr">
        <is>
          <t>ORUST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46241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46241</v>
      </c>
      <c r="F162" t="inlineStr">
        <is>
          <t>VÄSTRA GÖTALANDS LÄN</t>
        </is>
      </c>
      <c r="G162" t="inlineStr">
        <is>
          <t>ORUST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45847</v>
      </c>
      <c r="E163" s="1" t="n">
        <v>46241</v>
      </c>
      <c r="F163" t="inlineStr">
        <is>
          <t>VÄSTRA GÖTALANDS LÄN</t>
        </is>
      </c>
      <c r="G163" t="inlineStr">
        <is>
          <t>ORUST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46241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2026-08-07T01:56:10Z</dcterms:created>
  <dcterms:modified xmlns:dcterms="http://purl.org/dc/terms/" xmlns:xsi="http://www.w3.org/2001/XMLSchema-instance" xsi:type="dcterms:W3CDTF">2026-08-07T01:56:10Z</dcterms:modified>
</cp:coreProperties>
</file>