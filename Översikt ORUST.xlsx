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46295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46295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46295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46295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46295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46295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46295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46295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46295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46295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46295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46295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46295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46295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46295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46295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46295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46295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6986-2024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46295</v>
      </c>
      <c r="F20" t="inlineStr">
        <is>
          <t>VÄSTRA GÖTALANDS LÄN</t>
        </is>
      </c>
      <c r="G20" t="inlineStr">
        <is>
          <t>ORUST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HYPERLINK("https://klasma.github.io/Logging_1421/artfynd/A 6986-2024 artfynd.xlsx", "A 6986-2024")</f>
        <v/>
      </c>
      <c r="X20">
        <f>HYPERLINK("https://klasma.github.io/Logging_1421/kartor/A 6986-2024 karta.png", "A 6986-2024")</f>
        <v/>
      </c>
      <c r="Y20">
        <f>HYPERLINK("https://klasma.github.io/Logging_1421/kartor_geotiff/A 6986-2024 georefererad karta.tif", "A 6986-2024")</f>
        <v/>
      </c>
      <c r="AA20">
        <f>HYPERLINK("https://klasma.github.io/Logging_1421/klagomål/A 6986-2024 FSC-klagomål.docx", "A 6986-2024")</f>
        <v/>
      </c>
      <c r="AB20">
        <f>HYPERLINK("https://klasma.github.io/Logging_1421/klagomålsmail/A 6986-2024 FSC-klagomål mail.docx", "A 6986-2024")</f>
        <v/>
      </c>
      <c r="AC20">
        <f>HYPERLINK("https://klasma.github.io/Logging_1421/tillsyn/A 6986-2024 tillsynsbegäran.docx", "A 6986-2024")</f>
        <v/>
      </c>
      <c r="AD20">
        <f>HYPERLINK("https://klasma.github.io/Logging_1421/tillsynsmail/A 6986-2024 tillsynsbegäran mail.docx", "A 6986-2024")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46295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20086-2023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46295</v>
      </c>
      <c r="F22" t="inlineStr">
        <is>
          <t>VÄSTRA GÖTALANDS LÄN</t>
        </is>
      </c>
      <c r="G22" t="inlineStr">
        <is>
          <t>ORUST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20086-2023 artfynd.xlsx", "A 20086-2023")</f>
        <v/>
      </c>
      <c r="X22">
        <f>HYPERLINK("https://klasma.github.io/Logging_1421/kartor/A 20086-2023 karta.png", "A 20086-2023")</f>
        <v/>
      </c>
      <c r="Y22">
        <f>HYPERLINK("https://klasma.github.io/Logging_1421/kartor_geotiff/A 20086-2023 georefererad karta.tif", "A 20086-2023")</f>
        <v/>
      </c>
      <c r="Z22">
        <f>HYPERLINK("https://klasma.github.io/Logging_1421/knärot/A 20086-2023 karta knärot.png", "A 20086-2023")</f>
        <v/>
      </c>
      <c r="AA22">
        <f>HYPERLINK("https://klasma.github.io/Logging_1421/klagomål/A 20086-2023 FSC-klagomål.docx", "A 20086-2023")</f>
        <v/>
      </c>
      <c r="AB22">
        <f>HYPERLINK("https://klasma.github.io/Logging_1421/klagomålsmail/A 20086-2023 FSC-klagomål mail.docx", "A 20086-2023")</f>
        <v/>
      </c>
      <c r="AC22">
        <f>HYPERLINK("https://klasma.github.io/Logging_1421/tillsyn/A 20086-2023 tillsynsbegäran.docx", "A 20086-2023")</f>
        <v/>
      </c>
      <c r="AD22">
        <f>HYPERLINK("https://klasma.github.io/Logging_1421/tillsynsmail/A 20086-2023 tillsynsbegäran mail.docx", "A 20086-2023")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46295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41056-2025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46295</v>
      </c>
      <c r="F24" t="inlineStr">
        <is>
          <t>VÄSTRA GÖTALANDS LÄN</t>
        </is>
      </c>
      <c r="G24" t="inlineStr">
        <is>
          <t>ORUST</t>
        </is>
      </c>
      <c r="I24" t="n">
        <v>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HYPERLINK("https://klasma.github.io/Logging_1421/artfynd/A 41056-2025 artfynd.xlsx", "A 41056-2025")</f>
        <v/>
      </c>
      <c r="X24">
        <f>HYPERLINK("https://klasma.github.io/Logging_1421/kartor/A 41056-2025 karta.png", "A 41056-2025")</f>
        <v/>
      </c>
      <c r="Y24">
        <f>HYPERLINK("https://klasma.github.io/Logging_1421/kartor_geotiff/A 41056-2025 georefererad karta.tif", "A 41056-2025")</f>
        <v/>
      </c>
      <c r="AA24">
        <f>HYPERLINK("https://klasma.github.io/Logging_1421/klagomål/A 41056-2025 FSC-klagomål.docx", "A 41056-2025")</f>
        <v/>
      </c>
      <c r="AB24">
        <f>HYPERLINK("https://klasma.github.io/Logging_1421/klagomålsmail/A 41056-2025 FSC-klagomål mail.docx", "A 41056-2025")</f>
        <v/>
      </c>
      <c r="AC24">
        <f>HYPERLINK("https://klasma.github.io/Logging_1421/tillsyn/A 41056-2025 tillsynsbegäran.docx", "A 41056-2025")</f>
        <v/>
      </c>
      <c r="AD24">
        <f>HYPERLINK("https://klasma.github.io/Logging_1421/tillsynsmail/A 41056-2025 tillsynsbegäran mail.docx", "A 41056-2025")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46295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46295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46295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46295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46295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46295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46295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46295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46295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46295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46295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46295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46295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46295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46295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46295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46295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46295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46295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9937-2025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45718</v>
      </c>
      <c r="E44" s="1" t="n">
        <v>46295</v>
      </c>
      <c r="F44" t="inlineStr">
        <is>
          <t>VÄSTRA GÖTALANDS LÄN</t>
        </is>
      </c>
      <c r="G44" t="inlineStr">
        <is>
          <t>ORUST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46295</v>
      </c>
      <c r="F45" t="inlineStr">
        <is>
          <t>VÄSTRA GÖTALANDS LÄN</t>
        </is>
      </c>
      <c r="G45" t="inlineStr">
        <is>
          <t>ORUST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46295</v>
      </c>
      <c r="F46" t="inlineStr">
        <is>
          <t>VÄSTRA GÖTALANDS LÄN</t>
        </is>
      </c>
      <c r="G46" t="inlineStr">
        <is>
          <t>ORUST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14760-2025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45742</v>
      </c>
      <c r="E47" s="1" t="n">
        <v>46295</v>
      </c>
      <c r="F47" t="inlineStr">
        <is>
          <t>VÄSTRA GÖTALANDS LÄN</t>
        </is>
      </c>
      <c r="G47" t="inlineStr">
        <is>
          <t>ORUST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23682-2024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45454</v>
      </c>
      <c r="E48" s="1" t="n">
        <v>46295</v>
      </c>
      <c r="F48" t="inlineStr">
        <is>
          <t>VÄSTRA GÖTALANDS LÄN</t>
        </is>
      </c>
      <c r="G48" t="inlineStr">
        <is>
          <t>ORUST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34046-2024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45523</v>
      </c>
      <c r="E49" s="1" t="n">
        <v>46295</v>
      </c>
      <c r="F49" t="inlineStr">
        <is>
          <t>VÄSTRA GÖTALANDS LÄN</t>
        </is>
      </c>
      <c r="G49" t="inlineStr">
        <is>
          <t>ORUST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45667</v>
      </c>
      <c r="E50" s="1" t="n">
        <v>46295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46295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46295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45334</v>
      </c>
      <c r="E53" s="1" t="n">
        <v>46295</v>
      </c>
      <c r="F53" t="inlineStr">
        <is>
          <t>VÄSTRA GÖTALANDS LÄN</t>
        </is>
      </c>
      <c r="G53" t="inlineStr">
        <is>
          <t>ORUST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46295</v>
      </c>
      <c r="F54" t="inlineStr">
        <is>
          <t>VÄSTRA GÖTALANDS LÄN</t>
        </is>
      </c>
      <c r="G54" t="inlineStr">
        <is>
          <t>ORUST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46295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46295</v>
      </c>
      <c r="F56" t="inlineStr">
        <is>
          <t>VÄSTRA GÖTALANDS LÄN</t>
        </is>
      </c>
      <c r="G56" t="inlineStr">
        <is>
          <t>ORUST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45588</v>
      </c>
      <c r="E57" s="1" t="n">
        <v>46295</v>
      </c>
      <c r="F57" t="inlineStr">
        <is>
          <t>VÄSTRA GÖTALANDS LÄN</t>
        </is>
      </c>
      <c r="G57" t="inlineStr">
        <is>
          <t>ORUST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49822-2022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46295</v>
      </c>
      <c r="F58" t="inlineStr">
        <is>
          <t>VÄSTRA GÖTALANDS LÄN</t>
        </is>
      </c>
      <c r="G58" t="inlineStr">
        <is>
          <t>ORUST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46295</v>
      </c>
      <c r="F59" t="inlineStr">
        <is>
          <t>VÄSTRA GÖTALANDS LÄN</t>
        </is>
      </c>
      <c r="G59" t="inlineStr">
        <is>
          <t>ORUST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46295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46295</v>
      </c>
      <c r="F61" t="inlineStr">
        <is>
          <t>VÄSTRA GÖTALANDS LÄN</t>
        </is>
      </c>
      <c r="G61" t="inlineStr">
        <is>
          <t>ORUST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46295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45573</v>
      </c>
      <c r="E63" s="1" t="n">
        <v>46295</v>
      </c>
      <c r="F63" t="inlineStr">
        <is>
          <t>VÄSTRA GÖTALANDS LÄN</t>
        </is>
      </c>
      <c r="G63" t="inlineStr">
        <is>
          <t>ORUST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46295</v>
      </c>
      <c r="F64" t="inlineStr">
        <is>
          <t>VÄSTRA GÖTALANDS LÄN</t>
        </is>
      </c>
      <c r="G64" t="inlineStr">
        <is>
          <t>ORUST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45813</v>
      </c>
      <c r="E65" s="1" t="n">
        <v>46295</v>
      </c>
      <c r="F65" t="inlineStr">
        <is>
          <t>VÄSTRA GÖTALANDS LÄN</t>
        </is>
      </c>
      <c r="G65" t="inlineStr">
        <is>
          <t>ORUST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45491</v>
      </c>
      <c r="E66" s="1" t="n">
        <v>46295</v>
      </c>
      <c r="F66" t="inlineStr">
        <is>
          <t>VÄSTRA GÖTALANDS LÄN</t>
        </is>
      </c>
      <c r="G66" t="inlineStr">
        <is>
          <t>ORUST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45616</v>
      </c>
      <c r="E67" s="1" t="n">
        <v>46295</v>
      </c>
      <c r="F67" t="inlineStr">
        <is>
          <t>VÄSTRA GÖTALANDS LÄN</t>
        </is>
      </c>
      <c r="G67" t="inlineStr">
        <is>
          <t>ORUST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44924</v>
      </c>
      <c r="E68" s="1" t="n">
        <v>46295</v>
      </c>
      <c r="F68" t="inlineStr">
        <is>
          <t>VÄSTRA GÖTALANDS LÄN</t>
        </is>
      </c>
      <c r="G68" t="inlineStr">
        <is>
          <t>ORUST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46036</v>
      </c>
      <c r="E69" s="1" t="n">
        <v>46295</v>
      </c>
      <c r="F69" t="inlineStr">
        <is>
          <t>VÄSTRA GÖTALANDS LÄN</t>
        </is>
      </c>
      <c r="G69" t="inlineStr">
        <is>
          <t>ORUST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46036</v>
      </c>
      <c r="E70" s="1" t="n">
        <v>46295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45558</v>
      </c>
      <c r="E71" s="1" t="n">
        <v>46295</v>
      </c>
      <c r="F71" t="inlineStr">
        <is>
          <t>VÄSTRA GÖTALANDS LÄN</t>
        </is>
      </c>
      <c r="G71" t="inlineStr">
        <is>
          <t>ORUST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49617-2023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46295</v>
      </c>
      <c r="F72" t="inlineStr">
        <is>
          <t>VÄSTRA GÖTALANDS LÄN</t>
        </is>
      </c>
      <c r="G72" t="inlineStr">
        <is>
          <t>ORUST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46295</v>
      </c>
      <c r="F73" t="inlineStr">
        <is>
          <t>VÄSTRA GÖTALANDS LÄN</t>
        </is>
      </c>
      <c r="G73" t="inlineStr">
        <is>
          <t>ORUST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45840</v>
      </c>
      <c r="E74" s="1" t="n">
        <v>46295</v>
      </c>
      <c r="F74" t="inlineStr">
        <is>
          <t>VÄSTRA GÖTALANDS LÄN</t>
        </is>
      </c>
      <c r="G74" t="inlineStr">
        <is>
          <t>ORUST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46295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46295</v>
      </c>
      <c r="F76" t="inlineStr">
        <is>
          <t>VÄSTRA GÖTALANDS LÄN</t>
        </is>
      </c>
      <c r="G76" t="inlineStr">
        <is>
          <t>ORUST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46295</v>
      </c>
      <c r="F77" t="inlineStr">
        <is>
          <t>VÄSTRA GÖTALANDS LÄN</t>
        </is>
      </c>
      <c r="G77" t="inlineStr">
        <is>
          <t>ORUST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46295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46295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34502-2025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45847</v>
      </c>
      <c r="E80" s="1" t="n">
        <v>46295</v>
      </c>
      <c r="F80" t="inlineStr">
        <is>
          <t>VÄSTRA GÖTALANDS LÄN</t>
        </is>
      </c>
      <c r="G80" t="inlineStr">
        <is>
          <t>ORUST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44872</v>
      </c>
      <c r="E81" s="1" t="n">
        <v>46295</v>
      </c>
      <c r="F81" t="inlineStr">
        <is>
          <t>VÄSTRA GÖTALANDS LÄN</t>
        </is>
      </c>
      <c r="G81" t="inlineStr">
        <is>
          <t>ORUST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45872</v>
      </c>
      <c r="E82" s="1" t="n">
        <v>46295</v>
      </c>
      <c r="F82" t="inlineStr">
        <is>
          <t>VÄSTRA GÖTALANDS LÄN</t>
        </is>
      </c>
      <c r="G82" t="inlineStr">
        <is>
          <t>ORUST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6739-2026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46056</v>
      </c>
      <c r="E83" s="1" t="n">
        <v>46295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45601</v>
      </c>
      <c r="E84" s="1" t="n">
        <v>46295</v>
      </c>
      <c r="F84" t="inlineStr">
        <is>
          <t>VÄSTRA GÖTALANDS LÄN</t>
        </is>
      </c>
      <c r="G84" t="inlineStr">
        <is>
          <t>ORUST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46295</v>
      </c>
      <c r="F85" t="inlineStr">
        <is>
          <t>VÄSTRA GÖTALANDS LÄN</t>
        </is>
      </c>
      <c r="G85" t="inlineStr">
        <is>
          <t>ORUST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46065</v>
      </c>
      <c r="E86" s="1" t="n">
        <v>46295</v>
      </c>
      <c r="F86" t="inlineStr">
        <is>
          <t>VÄSTRA GÖTALANDS LÄN</t>
        </is>
      </c>
      <c r="G86" t="inlineStr">
        <is>
          <t>ORUST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45130</v>
      </c>
      <c r="E87" s="1" t="n">
        <v>46295</v>
      </c>
      <c r="F87" t="inlineStr">
        <is>
          <t>VÄSTRA GÖTALANDS LÄN</t>
        </is>
      </c>
      <c r="G87" t="inlineStr">
        <is>
          <t>ORUST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46070</v>
      </c>
      <c r="E88" s="1" t="n">
        <v>46295</v>
      </c>
      <c r="F88" t="inlineStr">
        <is>
          <t>VÄSTRA GÖTALANDS LÄN</t>
        </is>
      </c>
      <c r="G88" t="inlineStr">
        <is>
          <t>ORUST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46295</v>
      </c>
      <c r="F89" t="inlineStr">
        <is>
          <t>VÄSTRA GÖTALANDS LÄN</t>
        </is>
      </c>
      <c r="G89" t="inlineStr">
        <is>
          <t>ORUST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46295</v>
      </c>
      <c r="F90" t="inlineStr">
        <is>
          <t>VÄSTRA GÖTALANDS LÄN</t>
        </is>
      </c>
      <c r="G90" t="inlineStr">
        <is>
          <t>ORUST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46075</v>
      </c>
      <c r="E91" s="1" t="n">
        <v>46295</v>
      </c>
      <c r="F91" t="inlineStr">
        <is>
          <t>VÄSTRA GÖTALANDS LÄN</t>
        </is>
      </c>
      <c r="G91" t="inlineStr">
        <is>
          <t>ORUST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46295</v>
      </c>
      <c r="F92" t="inlineStr">
        <is>
          <t>VÄSTRA GÖTALANDS LÄN</t>
        </is>
      </c>
      <c r="G92" t="inlineStr">
        <is>
          <t>ORUST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46295</v>
      </c>
      <c r="F93" t="inlineStr">
        <is>
          <t>VÄSTRA GÖTALANDS LÄN</t>
        </is>
      </c>
      <c r="G93" t="inlineStr">
        <is>
          <t>ORUST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46295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45992</v>
      </c>
      <c r="E95" s="1" t="n">
        <v>46295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46295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46295</v>
      </c>
      <c r="F97" t="inlineStr">
        <is>
          <t>VÄSTRA GÖTALANDS LÄN</t>
        </is>
      </c>
      <c r="G97" t="inlineStr">
        <is>
          <t>ORUST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45014</v>
      </c>
      <c r="E98" s="1" t="n">
        <v>46295</v>
      </c>
      <c r="F98" t="inlineStr">
        <is>
          <t>VÄSTRA GÖTALANDS LÄN</t>
        </is>
      </c>
      <c r="G98" t="inlineStr">
        <is>
          <t>ORUST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45535</v>
      </c>
      <c r="E99" s="1" t="n">
        <v>46295</v>
      </c>
      <c r="F99" t="inlineStr">
        <is>
          <t>VÄSTRA GÖTALANDS LÄN</t>
        </is>
      </c>
      <c r="G99" t="inlineStr">
        <is>
          <t>ORUST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46120</v>
      </c>
      <c r="E100" s="1" t="n">
        <v>46295</v>
      </c>
      <c r="F100" t="inlineStr">
        <is>
          <t>VÄSTRA GÖTALANDS LÄN</t>
        </is>
      </c>
      <c r="G100" t="inlineStr">
        <is>
          <t>ORUST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46295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56496-2021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46295</v>
      </c>
      <c r="F102" t="inlineStr">
        <is>
          <t>VÄSTRA GÖTALANDS LÄN</t>
        </is>
      </c>
      <c r="G102" t="inlineStr">
        <is>
          <t>ORUST</t>
        </is>
      </c>
      <c r="I102" t="n">
        <v>10.3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46295</v>
      </c>
      <c r="F103" t="inlineStr">
        <is>
          <t>VÄSTRA GÖTALANDS LÄN</t>
        </is>
      </c>
      <c r="G103" t="inlineStr">
        <is>
          <t>ORUST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44919</v>
      </c>
      <c r="E104" s="1" t="n">
        <v>46295</v>
      </c>
      <c r="F104" t="inlineStr">
        <is>
          <t>VÄSTRA GÖTALANDS LÄN</t>
        </is>
      </c>
      <c r="G104" t="inlineStr">
        <is>
          <t>ORUST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46295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46295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46295</v>
      </c>
      <c r="F107" t="inlineStr">
        <is>
          <t>VÄSTRA GÖTALANDS LÄN</t>
        </is>
      </c>
      <c r="G107" t="inlineStr">
        <is>
          <t>ORUST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46295</v>
      </c>
      <c r="F108" t="inlineStr">
        <is>
          <t>VÄSTRA GÖTALANDS LÄN</t>
        </is>
      </c>
      <c r="G108" t="inlineStr">
        <is>
          <t>ORUST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46295</v>
      </c>
      <c r="F109" t="inlineStr">
        <is>
          <t>VÄSTRA GÖTALANDS LÄN</t>
        </is>
      </c>
      <c r="G109" t="inlineStr">
        <is>
          <t>ORUST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34500-2025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45847</v>
      </c>
      <c r="E110" s="1" t="n">
        <v>46295</v>
      </c>
      <c r="F110" t="inlineStr">
        <is>
          <t>VÄSTRA GÖTALANDS LÄN</t>
        </is>
      </c>
      <c r="G110" t="inlineStr">
        <is>
          <t>ORUST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32175-2024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45511</v>
      </c>
      <c r="E111" s="1" t="n">
        <v>46295</v>
      </c>
      <c r="F111" t="inlineStr">
        <is>
          <t>VÄSTRA GÖTALANDS LÄN</t>
        </is>
      </c>
      <c r="G111" t="inlineStr">
        <is>
          <t>ORUST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46295</v>
      </c>
      <c r="F112" t="inlineStr">
        <is>
          <t>VÄSTRA GÖTALANDS LÄN</t>
        </is>
      </c>
      <c r="G112" t="inlineStr">
        <is>
          <t>ORUST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68727-2021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46295</v>
      </c>
      <c r="F113" t="inlineStr">
        <is>
          <t>VÄSTRA GÖTALANDS LÄN</t>
        </is>
      </c>
      <c r="G113" t="inlineStr">
        <is>
          <t>ORUST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46295</v>
      </c>
      <c r="F114" t="inlineStr">
        <is>
          <t>VÄSTRA GÖTALANDS LÄN</t>
        </is>
      </c>
      <c r="G114" t="inlineStr">
        <is>
          <t>ORUST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45539</v>
      </c>
      <c r="E115" s="1" t="n">
        <v>46295</v>
      </c>
      <c r="F115" t="inlineStr">
        <is>
          <t>VÄSTRA GÖTALANDS LÄN</t>
        </is>
      </c>
      <c r="G115" t="inlineStr">
        <is>
          <t>ORUST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46295</v>
      </c>
      <c r="F116" t="inlineStr">
        <is>
          <t>VÄSTRA GÖTALANDS LÄN</t>
        </is>
      </c>
      <c r="G116" t="inlineStr">
        <is>
          <t>ORUST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46295</v>
      </c>
      <c r="F117" t="inlineStr">
        <is>
          <t>VÄSTRA GÖTALANDS LÄN</t>
        </is>
      </c>
      <c r="G117" t="inlineStr">
        <is>
          <t>ORUST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45058</v>
      </c>
      <c r="E118" s="1" t="n">
        <v>46295</v>
      </c>
      <c r="F118" t="inlineStr">
        <is>
          <t>VÄSTRA GÖTALANDS LÄN</t>
        </is>
      </c>
      <c r="G118" t="inlineStr">
        <is>
          <t>ORUST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14609-2024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45396</v>
      </c>
      <c r="E119" s="1" t="n">
        <v>46295</v>
      </c>
      <c r="F119" t="inlineStr">
        <is>
          <t>VÄSTRA GÖTALANDS LÄN</t>
        </is>
      </c>
      <c r="G119" t="inlineStr">
        <is>
          <t>ORUST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46295</v>
      </c>
      <c r="F120" t="inlineStr">
        <is>
          <t>VÄSTRA GÖTALANDS LÄN</t>
        </is>
      </c>
      <c r="G120" t="inlineStr">
        <is>
          <t>ORUST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46295</v>
      </c>
      <c r="F121" t="inlineStr">
        <is>
          <t>VÄSTRA GÖTALANDS LÄN</t>
        </is>
      </c>
      <c r="G121" t="inlineStr">
        <is>
          <t>ORUST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46170</v>
      </c>
      <c r="E122" s="1" t="n">
        <v>46295</v>
      </c>
      <c r="F122" t="inlineStr">
        <is>
          <t>VÄSTRA GÖTALANDS LÄN</t>
        </is>
      </c>
      <c r="G122" t="inlineStr">
        <is>
          <t>ORUST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44791</v>
      </c>
      <c r="E123" s="1" t="n">
        <v>46295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46295</v>
      </c>
      <c r="F124" t="inlineStr">
        <is>
          <t>VÄSTRA GÖTALANDS LÄN</t>
        </is>
      </c>
      <c r="G124" t="inlineStr">
        <is>
          <t>ORUST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46295</v>
      </c>
      <c r="F125" t="inlineStr">
        <is>
          <t>VÄSTRA GÖTALANDS LÄN</t>
        </is>
      </c>
      <c r="G125" t="inlineStr">
        <is>
          <t>ORUST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46295</v>
      </c>
      <c r="F126" t="inlineStr">
        <is>
          <t>VÄSTRA GÖTALANDS LÄN</t>
        </is>
      </c>
      <c r="G126" t="inlineStr">
        <is>
          <t>ORUST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46295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46295</v>
      </c>
      <c r="F128" t="inlineStr">
        <is>
          <t>VÄSTRA GÖTALANDS LÄN</t>
        </is>
      </c>
      <c r="G128" t="inlineStr">
        <is>
          <t>ORUST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45045</v>
      </c>
      <c r="E129" s="1" t="n">
        <v>46295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45523</v>
      </c>
      <c r="E130" s="1" t="n">
        <v>46295</v>
      </c>
      <c r="F130" t="inlineStr">
        <is>
          <t>VÄSTRA GÖTALANDS LÄN</t>
        </is>
      </c>
      <c r="G130" t="inlineStr">
        <is>
          <t>ORUST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45641</v>
      </c>
      <c r="E131" s="1" t="n">
        <v>46295</v>
      </c>
      <c r="F131" t="inlineStr">
        <is>
          <t>VÄSTRA GÖTALANDS LÄN</t>
        </is>
      </c>
      <c r="G131" t="inlineStr">
        <is>
          <t>ORUST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44899</v>
      </c>
      <c r="E132" s="1" t="n">
        <v>46295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46295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46295</v>
      </c>
      <c r="F134" t="inlineStr">
        <is>
          <t>VÄSTRA GÖTALANDS LÄN</t>
        </is>
      </c>
      <c r="G134" t="inlineStr">
        <is>
          <t>ORUST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46213</v>
      </c>
      <c r="E135" s="1" t="n">
        <v>46295</v>
      </c>
      <c r="F135" t="inlineStr">
        <is>
          <t>VÄSTRA GÖTALANDS LÄN</t>
        </is>
      </c>
      <c r="G135" t="inlineStr">
        <is>
          <t>ORUST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45524</v>
      </c>
      <c r="E136" s="1" t="n">
        <v>46295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45044</v>
      </c>
      <c r="E137" s="1" t="n">
        <v>46295</v>
      </c>
      <c r="F137" t="inlineStr">
        <is>
          <t>VÄSTRA GÖTALANDS LÄN</t>
        </is>
      </c>
      <c r="G137" t="inlineStr">
        <is>
          <t>ORUST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45181</v>
      </c>
      <c r="E138" s="1" t="n">
        <v>46295</v>
      </c>
      <c r="F138" t="inlineStr">
        <is>
          <t>VÄSTRA GÖTALANDS LÄN</t>
        </is>
      </c>
      <c r="G138" t="inlineStr">
        <is>
          <t>ORUST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46295</v>
      </c>
      <c r="F139" t="inlineStr">
        <is>
          <t>VÄSTRA GÖTALANDS LÄN</t>
        </is>
      </c>
      <c r="G139" t="inlineStr">
        <is>
          <t>ORUST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36428-2026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46269</v>
      </c>
      <c r="E140" s="1" t="n">
        <v>46295</v>
      </c>
      <c r="F140" t="inlineStr">
        <is>
          <t>VÄSTRA GÖTALANDS LÄN</t>
        </is>
      </c>
      <c r="G140" t="inlineStr">
        <is>
          <t>ORUST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46295</v>
      </c>
      <c r="F141" t="inlineStr">
        <is>
          <t>VÄSTRA GÖTALANDS LÄN</t>
        </is>
      </c>
      <c r="G141" t="inlineStr">
        <is>
          <t>ORUST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46295</v>
      </c>
      <c r="F142" t="inlineStr">
        <is>
          <t>VÄSTRA GÖTALANDS LÄN</t>
        </is>
      </c>
      <c r="G142" t="inlineStr">
        <is>
          <t>ORUST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46295</v>
      </c>
      <c r="F143" t="inlineStr">
        <is>
          <t>VÄSTRA GÖTALANDS LÄN</t>
        </is>
      </c>
      <c r="G143" t="inlineStr">
        <is>
          <t>ORUST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44655</v>
      </c>
      <c r="E144" s="1" t="n">
        <v>46295</v>
      </c>
      <c r="F144" t="inlineStr">
        <is>
          <t>VÄSTRA GÖTALANDS LÄN</t>
        </is>
      </c>
      <c r="G144" t="inlineStr">
        <is>
          <t>ORUST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46280</v>
      </c>
      <c r="E145" s="1" t="n">
        <v>46295</v>
      </c>
      <c r="F145" t="inlineStr">
        <is>
          <t>VÄSTRA GÖTALANDS LÄN</t>
        </is>
      </c>
      <c r="G145" t="inlineStr">
        <is>
          <t>ORUST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45339</v>
      </c>
      <c r="E146" s="1" t="n">
        <v>46295</v>
      </c>
      <c r="F146" t="inlineStr">
        <is>
          <t>VÄSTRA GÖTALANDS LÄN</t>
        </is>
      </c>
      <c r="G146" t="inlineStr">
        <is>
          <t>ORUST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46295</v>
      </c>
      <c r="F147" t="inlineStr">
        <is>
          <t>VÄSTRA GÖTALANDS LÄN</t>
        </is>
      </c>
      <c r="G147" t="inlineStr">
        <is>
          <t>ORUST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46295</v>
      </c>
      <c r="F148" t="inlineStr">
        <is>
          <t>VÄSTRA GÖTALANDS LÄN</t>
        </is>
      </c>
      <c r="G148" t="inlineStr">
        <is>
          <t>ORUST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45601</v>
      </c>
      <c r="E149" s="1" t="n">
        <v>46295</v>
      </c>
      <c r="F149" t="inlineStr">
        <is>
          <t>VÄSTRA GÖTALANDS LÄN</t>
        </is>
      </c>
      <c r="G149" t="inlineStr">
        <is>
          <t>ORUST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36999-2023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46295</v>
      </c>
      <c r="F150" t="inlineStr">
        <is>
          <t>VÄSTRA GÖTALANDS LÄN</t>
        </is>
      </c>
      <c r="G150" t="inlineStr">
        <is>
          <t>ORUST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45790</v>
      </c>
      <c r="E151" s="1" t="n">
        <v>46295</v>
      </c>
      <c r="F151" t="inlineStr">
        <is>
          <t>VÄSTRA GÖTALANDS LÄN</t>
        </is>
      </c>
      <c r="G151" t="inlineStr">
        <is>
          <t>ORUST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46295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46295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2026-09-30T01:58:09Z</dcterms:created>
  <dcterms:modified xmlns:dcterms="http://purl.org/dc/terms/" xmlns:xsi="http://www.w3.org/2001/XMLSchema-instance" xsi:type="dcterms:W3CDTF">2026-09-30T01:58:09Z</dcterms:modified>
</cp:coreProperties>
</file>