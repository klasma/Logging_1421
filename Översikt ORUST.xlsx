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45288</v>
      </c>
      <c r="E2" s="1" t="n">
        <v>46307</v>
      </c>
      <c r="F2" t="inlineStr">
        <is>
          <t>VÄSTRA GÖTALANDS LÄN</t>
        </is>
      </c>
      <c r="G2" t="inlineStr">
        <is>
          <t>ORUST</t>
        </is>
      </c>
      <c r="I2" t="n">
        <v>17.8</v>
      </c>
      <c r="J2" t="n">
        <v>1</v>
      </c>
      <c r="K2" t="n">
        <v>2</v>
      </c>
      <c r="L2" t="n">
        <v>0</v>
      </c>
      <c r="M2" t="n">
        <v>2</v>
      </c>
      <c r="N2" t="n">
        <v>0</v>
      </c>
      <c r="O2" t="n">
        <v>0</v>
      </c>
      <c r="P2" t="n">
        <v>0</v>
      </c>
      <c r="Q2" t="n">
        <v>2</v>
      </c>
      <c r="R2" t="n">
        <v>2</v>
      </c>
      <c r="S2" t="n">
        <v>4</v>
      </c>
      <c r="T2" t="n">
        <v>4</v>
      </c>
      <c r="U2" t="n">
        <v>3</v>
      </c>
      <c r="V2" s="2" t="inlineStr">
        <is>
          <t>Blockskapania
Knärot
Grov fjädermossa
Stor revmossa</t>
        </is>
      </c>
      <c r="W2">
        <f>HYPERLINK("https://klasma.github.io/Logging_1421/artfynd/A 65099-2023 artfynd.xlsx", "A 65099-2023")</f>
        <v/>
      </c>
      <c r="X2">
        <f>HYPERLINK("https://klasma.github.io/Logging_1421/kartor/A 65099-2023 karta.png", "A 65099-2023")</f>
        <v/>
      </c>
      <c r="Y2">
        <f>HYPERLINK("https://klasma.github.io/Logging_1421/kartor_geotiff/A 65099-2023 georefererad karta.tif", "A 65099-2023")</f>
        <v/>
      </c>
      <c r="Z2">
        <f>HYPERLINK("https://klasma.github.io/Logging_1421/knärot/A 65099-2023 karta knärot.png", "A 65099-2023")</f>
        <v/>
      </c>
      <c r="AA2">
        <f>HYPERLINK("https://klasma.github.io/Logging_1421/klagomål/A 65099-2023 FSC-klagomål.docx", "A 65099-2023")</f>
        <v/>
      </c>
      <c r="AB2">
        <f>HYPERLINK("https://klasma.github.io/Logging_1421/klagomålsmail/A 65099-2023 FSC-klagomål mail.docx", "A 65099-2023")</f>
        <v/>
      </c>
      <c r="AC2">
        <f>HYPERLINK("https://klasma.github.io/Logging_1421/tillsyn/A 65099-2023 tillsynsbegäran.docx", "A 65099-2023")</f>
        <v/>
      </c>
      <c r="AD2">
        <f>HYPERLINK("https://klasma.github.io/Logging_1421/tillsynsmail/A 65099-2023 tillsynsbegäran mail.docx", "A 65099-2023")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46307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46307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46307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6055-2024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45336</v>
      </c>
      <c r="E6" s="1" t="n">
        <v>46307</v>
      </c>
      <c r="F6" t="inlineStr">
        <is>
          <t>VÄSTRA GÖTALANDS LÄN</t>
        </is>
      </c>
      <c r="G6" t="inlineStr">
        <is>
          <t>ORUST</t>
        </is>
      </c>
      <c r="I6" t="n">
        <v>24.1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3</v>
      </c>
      <c r="V6" s="2" t="inlineStr">
        <is>
          <t>Lopplummer (aggregat)
Revlummer
Äkta lopplummer</t>
        </is>
      </c>
      <c r="W6">
        <f>HYPERLINK("https://klasma.github.io/Logging_1421/artfynd/A 6055-2024 artfynd.xlsx", "A 6055-2024")</f>
        <v/>
      </c>
      <c r="X6">
        <f>HYPERLINK("https://klasma.github.io/Logging_1421/kartor/A 6055-2024 karta.png", "A 6055-2024")</f>
        <v/>
      </c>
      <c r="Y6">
        <f>HYPERLINK("https://klasma.github.io/Logging_1421/kartor_geotiff/A 6055-2024 georefererad karta.tif", "A 6055-2024")</f>
        <v/>
      </c>
      <c r="AA6">
        <f>HYPERLINK("https://klasma.github.io/Logging_1421/klagomål/A 6055-2024 FSC-klagomål.docx", "A 6055-2024")</f>
        <v/>
      </c>
      <c r="AB6">
        <f>HYPERLINK("https://klasma.github.io/Logging_1421/klagomålsmail/A 6055-2024 FSC-klagomål mail.docx", "A 6055-2024")</f>
        <v/>
      </c>
      <c r="AC6">
        <f>HYPERLINK("https://klasma.github.io/Logging_1421/tillsyn/A 6055-2024 tillsynsbegäran.docx", "A 6055-2024")</f>
        <v/>
      </c>
      <c r="AD6">
        <f>HYPERLINK("https://klasma.github.io/Logging_1421/tillsynsmail/A 6055-2024 tillsynsbegäran mail.docx", "A 6055-2024")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46307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46307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46307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13220-2024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45386</v>
      </c>
      <c r="E10" s="1" t="n">
        <v>46307</v>
      </c>
      <c r="F10" t="inlineStr">
        <is>
          <t>VÄSTRA GÖTALANDS LÄN</t>
        </is>
      </c>
      <c r="G10" t="inlineStr">
        <is>
          <t>ORUST</t>
        </is>
      </c>
      <c r="I10" t="n">
        <v>3.3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HYPERLINK("https://klasma.github.io/Logging_1421/artfynd/A 13220-2024 artfynd.xlsx", "A 13220-2024")</f>
        <v/>
      </c>
      <c r="X10">
        <f>HYPERLINK("https://klasma.github.io/Logging_1421/kartor/A 13220-2024 karta.png", "A 13220-2024")</f>
        <v/>
      </c>
      <c r="Y10">
        <f>HYPERLINK("https://klasma.github.io/Logging_1421/kartor_geotiff/A 13220-2024 georefererad karta.tif", "A 13220-2024")</f>
        <v/>
      </c>
      <c r="Z10">
        <f>HYPERLINK("https://klasma.github.io/Logging_1421/knärot/A 13220-2024 karta knärot.png", "A 13220-2024")</f>
        <v/>
      </c>
      <c r="AA10">
        <f>HYPERLINK("https://klasma.github.io/Logging_1421/klagomål/A 13220-2024 FSC-klagomål.docx", "A 13220-2024")</f>
        <v/>
      </c>
      <c r="AB10">
        <f>HYPERLINK("https://klasma.github.io/Logging_1421/klagomålsmail/A 13220-2024 FSC-klagomål mail.docx", "A 13220-2024")</f>
        <v/>
      </c>
      <c r="AC10">
        <f>HYPERLINK("https://klasma.github.io/Logging_1421/tillsyn/A 13220-2024 tillsynsbegäran.docx", "A 13220-2024")</f>
        <v/>
      </c>
      <c r="AD10">
        <f>HYPERLINK("https://klasma.github.io/Logging_1421/tillsynsmail/A 13220-2024 tillsynsbegäran mail.docx", "A 13220-2024")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46307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13243-2023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45002</v>
      </c>
      <c r="E12" s="1" t="n">
        <v>46307</v>
      </c>
      <c r="F12" t="inlineStr">
        <is>
          <t>VÄSTRA GÖTALANDS LÄN</t>
        </is>
      </c>
      <c r="G12" t="inlineStr">
        <is>
          <t>ORUST</t>
        </is>
      </c>
      <c r="I12" t="n">
        <v>4.8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HYPERLINK("https://klasma.github.io/Logging_1421/artfynd/A 13243-2023 artfynd.xlsx", "A 13243-2023")</f>
        <v/>
      </c>
      <c r="X12">
        <f>HYPERLINK("https://klasma.github.io/Logging_1421/kartor/A 13243-2023 karta.png", "A 13243-2023")</f>
        <v/>
      </c>
      <c r="Y12">
        <f>HYPERLINK("https://klasma.github.io/Logging_1421/kartor_geotiff/A 13243-2023 georefererad karta.tif", "A 13243-2023")</f>
        <v/>
      </c>
      <c r="AA12">
        <f>HYPERLINK("https://klasma.github.io/Logging_1421/klagomål/A 13243-2023 FSC-klagomål.docx", "A 13243-2023")</f>
        <v/>
      </c>
      <c r="AB12">
        <f>HYPERLINK("https://klasma.github.io/Logging_1421/klagomålsmail/A 13243-2023 FSC-klagomål mail.docx", "A 13243-2023")</f>
        <v/>
      </c>
      <c r="AC12">
        <f>HYPERLINK("https://klasma.github.io/Logging_1421/tillsyn/A 13243-2023 tillsynsbegäran.docx", "A 13243-2023")</f>
        <v/>
      </c>
      <c r="AD12">
        <f>HYPERLINK("https://klasma.github.io/Logging_1421/tillsynsmail/A 13243-2023 tillsynsbegäran mail.docx", "A 13243-2023")</f>
        <v/>
      </c>
    </row>
    <row r="13" ht="15" customHeight="1">
      <c r="A13" t="inlineStr">
        <is>
          <t>A 5617-2024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46307</v>
      </c>
      <c r="F13" t="inlineStr">
        <is>
          <t>VÄSTRA GÖTALANDS LÄN</t>
        </is>
      </c>
      <c r="G13" t="inlineStr">
        <is>
          <t>ORUST</t>
        </is>
      </c>
      <c r="I13" t="n">
        <v>2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5617-2024 artfynd.xlsx", "A 5617-2024")</f>
        <v/>
      </c>
      <c r="X13">
        <f>HYPERLINK("https://klasma.github.io/Logging_1421/kartor/A 5617-2024 karta.png", "A 5617-2024")</f>
        <v/>
      </c>
      <c r="Y13">
        <f>HYPERLINK("https://klasma.github.io/Logging_1421/kartor_geotiff/A 5617-2024 georefererad karta.tif", "A 5617-2024")</f>
        <v/>
      </c>
      <c r="Z13">
        <f>HYPERLINK("https://klasma.github.io/Logging_1421/knärot/A 5617-2024 karta knärot.png", "A 5617-2024")</f>
        <v/>
      </c>
      <c r="AA13">
        <f>HYPERLINK("https://klasma.github.io/Logging_1421/klagomål/A 5617-2024 FSC-klagomål.docx", "A 5617-2024")</f>
        <v/>
      </c>
      <c r="AB13">
        <f>HYPERLINK("https://klasma.github.io/Logging_1421/klagomålsmail/A 5617-2024 FSC-klagomål mail.docx", "A 5617-2024")</f>
        <v/>
      </c>
      <c r="AC13">
        <f>HYPERLINK("https://klasma.github.io/Logging_1421/tillsyn/A 5617-2024 tillsynsbegäran.docx", "A 5617-2024")</f>
        <v/>
      </c>
      <c r="AD13">
        <f>HYPERLINK("https://klasma.github.io/Logging_1421/tillsynsmail/A 5617-2024 tillsynsbegäran mail.docx", "A 5617-2024")</f>
        <v/>
      </c>
    </row>
    <row r="14" ht="15" customHeight="1">
      <c r="A14" t="inlineStr">
        <is>
          <t>A 44233-2023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46307</v>
      </c>
      <c r="F14" t="inlineStr">
        <is>
          <t>VÄSTRA GÖTALANDS LÄN</t>
        </is>
      </c>
      <c r="G14" t="inlineStr">
        <is>
          <t>ORUST</t>
        </is>
      </c>
      <c r="I14" t="n">
        <v>3.1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44233-2023 artfynd.xlsx", "A 44233-2023")</f>
        <v/>
      </c>
      <c r="X14">
        <f>HYPERLINK("https://klasma.github.io/Logging_1421/kartor/A 44233-2023 karta.png", "A 44233-2023")</f>
        <v/>
      </c>
      <c r="Y14">
        <f>HYPERLINK("https://klasma.github.io/Logging_1421/kartor_geotiff/A 44233-2023 georefererad karta.tif", "A 44233-2023")</f>
        <v/>
      </c>
      <c r="Z14">
        <f>HYPERLINK("https://klasma.github.io/Logging_1421/knärot/A 44233-2023 karta knärot.png", "A 44233-2023")</f>
        <v/>
      </c>
      <c r="AA14">
        <f>HYPERLINK("https://klasma.github.io/Logging_1421/klagomål/A 44233-2023 FSC-klagomål.docx", "A 44233-2023")</f>
        <v/>
      </c>
      <c r="AB14">
        <f>HYPERLINK("https://klasma.github.io/Logging_1421/klagomålsmail/A 44233-2023 FSC-klagomål mail.docx", "A 44233-2023")</f>
        <v/>
      </c>
      <c r="AC14">
        <f>HYPERLINK("https://klasma.github.io/Logging_1421/tillsyn/A 44233-2023 tillsynsbegäran.docx", "A 44233-2023")</f>
        <v/>
      </c>
      <c r="AD14">
        <f>HYPERLINK("https://klasma.github.io/Logging_1421/tillsynsmail/A 44233-2023 tillsynsbegäran mail.docx", "A 44233-2023")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46307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46307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5634-2025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45693</v>
      </c>
      <c r="E17" s="1" t="n">
        <v>46307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5634-2025 artfynd.xlsx", "A 5634-2025")</f>
        <v/>
      </c>
      <c r="X17">
        <f>HYPERLINK("https://klasma.github.io/Logging_1421/kartor/A 5634-2025 karta.png", "A 5634-2025")</f>
        <v/>
      </c>
      <c r="Y17">
        <f>HYPERLINK("https://klasma.github.io/Logging_1421/kartor_geotiff/A 5634-2025 georefererad karta.tif", "A 5634-2025")</f>
        <v/>
      </c>
      <c r="Z17">
        <f>HYPERLINK("https://klasma.github.io/Logging_1421/knärot/A 5634-2025 karta knärot.png", "A 5634-2025")</f>
        <v/>
      </c>
      <c r="AA17">
        <f>HYPERLINK("https://klasma.github.io/Logging_1421/klagomål/A 5634-2025 FSC-klagomål.docx", "A 5634-2025")</f>
        <v/>
      </c>
      <c r="AB17">
        <f>HYPERLINK("https://klasma.github.io/Logging_1421/klagomålsmail/A 5634-2025 FSC-klagomål mail.docx", "A 5634-2025")</f>
        <v/>
      </c>
      <c r="AC17">
        <f>HYPERLINK("https://klasma.github.io/Logging_1421/tillsyn/A 5634-2025 tillsynsbegäran.docx", "A 5634-2025")</f>
        <v/>
      </c>
      <c r="AD17">
        <f>HYPERLINK("https://klasma.github.io/Logging_1421/tillsynsmail/A 5634-2025 tillsynsbegäran mail.docx", "A 5634-2025")</f>
        <v/>
      </c>
    </row>
    <row r="18" ht="15" customHeight="1">
      <c r="A18" t="inlineStr">
        <is>
          <t>A 6986-2024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46307</v>
      </c>
      <c r="F18" t="inlineStr">
        <is>
          <t>VÄSTRA GÖTALANDS LÄN</t>
        </is>
      </c>
      <c r="G18" t="inlineStr">
        <is>
          <t>ORUST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HYPERLINK("https://klasma.github.io/Logging_1421/artfynd/A 6986-2024 artfynd.xlsx", "A 6986-2024")</f>
        <v/>
      </c>
      <c r="X18">
        <f>HYPERLINK("https://klasma.github.io/Logging_1421/kartor/A 6986-2024 karta.png", "A 6986-2024")</f>
        <v/>
      </c>
      <c r="Y18">
        <f>HYPERLINK("https://klasma.github.io/Logging_1421/kartor_geotiff/A 6986-2024 georefererad karta.tif", "A 6986-2024")</f>
        <v/>
      </c>
      <c r="AA18">
        <f>HYPERLINK("https://klasma.github.io/Logging_1421/klagomål/A 6986-2024 FSC-klagomål.docx", "A 6986-2024")</f>
        <v/>
      </c>
      <c r="AB18">
        <f>HYPERLINK("https://klasma.github.io/Logging_1421/klagomålsmail/A 6986-2024 FSC-klagomål mail.docx", "A 6986-2024")</f>
        <v/>
      </c>
      <c r="AC18">
        <f>HYPERLINK("https://klasma.github.io/Logging_1421/tillsyn/A 6986-2024 tillsynsbegäran.docx", "A 6986-2024")</f>
        <v/>
      </c>
      <c r="AD18">
        <f>HYPERLINK("https://klasma.github.io/Logging_1421/tillsynsmail/A 6986-2024 tillsynsbegäran mail.docx", "A 6986-2024")</f>
        <v/>
      </c>
    </row>
    <row r="19" ht="15" customHeight="1">
      <c r="A19" t="inlineStr">
        <is>
          <t>A 20086-2023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46307</v>
      </c>
      <c r="F19" t="inlineStr">
        <is>
          <t>VÄSTRA GÖTALANDS LÄN</t>
        </is>
      </c>
      <c r="G19" t="inlineStr">
        <is>
          <t>ORUST</t>
        </is>
      </c>
      <c r="I19" t="n">
        <v>1.9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20086-2023 artfynd.xlsx", "A 20086-2023")</f>
        <v/>
      </c>
      <c r="X19">
        <f>HYPERLINK("https://klasma.github.io/Logging_1421/kartor/A 20086-2023 karta.png", "A 20086-2023")</f>
        <v/>
      </c>
      <c r="Y19">
        <f>HYPERLINK("https://klasma.github.io/Logging_1421/kartor_geotiff/A 20086-2023 georefererad karta.tif", "A 20086-2023")</f>
        <v/>
      </c>
      <c r="Z19">
        <f>HYPERLINK("https://klasma.github.io/Logging_1421/knärot/A 20086-2023 karta knärot.png", "A 20086-2023")</f>
        <v/>
      </c>
      <c r="AA19">
        <f>HYPERLINK("https://klasma.github.io/Logging_1421/klagomål/A 20086-2023 FSC-klagomål.docx", "A 20086-2023")</f>
        <v/>
      </c>
      <c r="AB19">
        <f>HYPERLINK("https://klasma.github.io/Logging_1421/klagomålsmail/A 20086-2023 FSC-klagomål mail.docx", "A 20086-2023")</f>
        <v/>
      </c>
      <c r="AC19">
        <f>HYPERLINK("https://klasma.github.io/Logging_1421/tillsyn/A 20086-2023 tillsynsbegäran.docx", "A 20086-2023")</f>
        <v/>
      </c>
      <c r="AD19">
        <f>HYPERLINK("https://klasma.github.io/Logging_1421/tillsynsmail/A 20086-2023 tillsynsbegäran mail.docx", "A 20086-2023")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46307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Granspira</t>
        </is>
      </c>
      <c r="W20">
        <f>HYPERLINK("https://klasma.github.io/Logging_1421/artfynd/A 49047-2025 artfynd.xlsx", "A 49047-2025")</f>
        <v/>
      </c>
      <c r="X20">
        <f>HYPERLINK("https://klasma.github.io/Logging_1421/kartor/A 49047-2025 karta.png", "A 49047-2025")</f>
        <v/>
      </c>
      <c r="Y20">
        <f>HYPERLINK("https://klasma.github.io/Logging_1421/kartor_geotiff/A 49047-2025 georefererad karta.tif", "A 49047-2025")</f>
        <v/>
      </c>
      <c r="AA20">
        <f>HYPERLINK("https://klasma.github.io/Logging_1421/klagomål/A 49047-2025 FSC-klagomål.docx", "A 49047-2025")</f>
        <v/>
      </c>
      <c r="AB20">
        <f>HYPERLINK("https://klasma.github.io/Logging_1421/klagomålsmail/A 49047-2025 FSC-klagomål mail.docx", "A 49047-2025")</f>
        <v/>
      </c>
      <c r="AC20">
        <f>HYPERLINK("https://klasma.github.io/Logging_1421/tillsyn/A 49047-2025 tillsynsbegäran.docx", "A 49047-2025")</f>
        <v/>
      </c>
      <c r="AD20">
        <f>HYPERLINK("https://klasma.github.io/Logging_1421/tillsynsmail/A 49047-2025 tillsynsbegäran mail.docx", "A 49047-2025")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46307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46307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Knärot</t>
        </is>
      </c>
      <c r="W22">
        <f>HYPERLINK("https://klasma.github.io/Logging_1421/artfynd/A 56035-2025 artfynd.xlsx", "A 56035-2025")</f>
        <v/>
      </c>
      <c r="X22">
        <f>HYPERLINK("https://klasma.github.io/Logging_1421/kartor/A 56035-2025 karta.png", "A 56035-2025")</f>
        <v/>
      </c>
      <c r="Y22">
        <f>HYPERLINK("https://klasma.github.io/Logging_1421/kartor_geotiff/A 56035-2025 georefererad karta.tif", "A 56035-2025")</f>
        <v/>
      </c>
      <c r="Z22">
        <f>HYPERLINK("https://klasma.github.io/Logging_1421/knärot/A 56035-2025 karta knärot.png", "A 56035-2025")</f>
        <v/>
      </c>
      <c r="AA22">
        <f>HYPERLINK("https://klasma.github.io/Logging_1421/klagomål/A 56035-2025 FSC-klagomål.docx", "A 56035-2025")</f>
        <v/>
      </c>
      <c r="AB22">
        <f>HYPERLINK("https://klasma.github.io/Logging_1421/klagomålsmail/A 56035-2025 FSC-klagomål mail.docx", "A 56035-2025")</f>
        <v/>
      </c>
      <c r="AC22">
        <f>HYPERLINK("https://klasma.github.io/Logging_1421/tillsyn/A 56035-2025 tillsynsbegäran.docx", "A 56035-2025")</f>
        <v/>
      </c>
      <c r="AD22">
        <f>HYPERLINK("https://klasma.github.io/Logging_1421/tillsynsmail/A 56035-2025 tillsynsbegäran mail.docx", "A 56035-2025")</f>
        <v/>
      </c>
    </row>
    <row r="23" ht="15" customHeight="1">
      <c r="A23" t="inlineStr">
        <is>
          <t>A 12722-2026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46091</v>
      </c>
      <c r="E23" s="1" t="n">
        <v>46307</v>
      </c>
      <c r="F23" t="inlineStr">
        <is>
          <t>VÄSTRA GÖTALANDS LÄN</t>
        </is>
      </c>
      <c r="G23" t="inlineStr">
        <is>
          <t>ORUST</t>
        </is>
      </c>
      <c r="I23" t="n">
        <v>7.4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12722-2026 artfynd.xlsx", "A 12722-2026")</f>
        <v/>
      </c>
      <c r="X23">
        <f>HYPERLINK("https://klasma.github.io/Logging_1421/kartor/A 12722-2026 karta.png", "A 12722-2026")</f>
        <v/>
      </c>
      <c r="Y23">
        <f>HYPERLINK("https://klasma.github.io/Logging_1421/kartor_geotiff/A 12722-2026 georefererad karta.tif", "A 12722-2026")</f>
        <v/>
      </c>
      <c r="Z23">
        <f>HYPERLINK("https://klasma.github.io/Logging_1421/knärot/A 12722-2026 karta knärot.png", "A 12722-2026")</f>
        <v/>
      </c>
      <c r="AA23">
        <f>HYPERLINK("https://klasma.github.io/Logging_1421/klagomål/A 12722-2026 FSC-klagomål.docx", "A 12722-2026")</f>
        <v/>
      </c>
      <c r="AB23">
        <f>HYPERLINK("https://klasma.github.io/Logging_1421/klagomålsmail/A 12722-2026 FSC-klagomål mail.docx", "A 12722-2026")</f>
        <v/>
      </c>
      <c r="AC23">
        <f>HYPERLINK("https://klasma.github.io/Logging_1421/tillsyn/A 12722-2026 tillsynsbegäran.docx", "A 12722-2026")</f>
        <v/>
      </c>
      <c r="AD23">
        <f>HYPERLINK("https://klasma.github.io/Logging_1421/tillsynsmail/A 12722-2026 tillsynsbegäran mail.docx", "A 12722-2026")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46307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46307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41056-2025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46307</v>
      </c>
      <c r="F26" t="inlineStr">
        <is>
          <t>VÄSTRA GÖTALANDS LÄN</t>
        </is>
      </c>
      <c r="G26" t="inlineStr">
        <is>
          <t>ORUST</t>
        </is>
      </c>
      <c r="I26" t="n">
        <v>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HYPERLINK("https://klasma.github.io/Logging_1421/artfynd/A 41056-2025 artfynd.xlsx", "A 41056-2025")</f>
        <v/>
      </c>
      <c r="X26">
        <f>HYPERLINK("https://klasma.github.io/Logging_1421/kartor/A 41056-2025 karta.png", "A 41056-2025")</f>
        <v/>
      </c>
      <c r="Y26">
        <f>HYPERLINK("https://klasma.github.io/Logging_1421/kartor_geotiff/A 41056-2025 georefererad karta.tif", "A 41056-2025")</f>
        <v/>
      </c>
      <c r="AA26">
        <f>HYPERLINK("https://klasma.github.io/Logging_1421/klagomål/A 41056-2025 FSC-klagomål.docx", "A 41056-2025")</f>
        <v/>
      </c>
      <c r="AB26">
        <f>HYPERLINK("https://klasma.github.io/Logging_1421/klagomålsmail/A 41056-2025 FSC-klagomål mail.docx", "A 41056-2025")</f>
        <v/>
      </c>
      <c r="AC26">
        <f>HYPERLINK("https://klasma.github.io/Logging_1421/tillsyn/A 41056-2025 tillsynsbegäran.docx", "A 41056-2025")</f>
        <v/>
      </c>
      <c r="AD26">
        <f>HYPERLINK("https://klasma.github.io/Logging_1421/tillsynsmail/A 41056-2025 tillsynsbegäran mail.docx", "A 41056-2025")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46307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46307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46307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46307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46307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46307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46307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73292-2021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46307</v>
      </c>
      <c r="F34" t="inlineStr">
        <is>
          <t>VÄSTRA GÖTALANDS LÄN</t>
        </is>
      </c>
      <c r="G34" t="inlineStr">
        <is>
          <t>ORUST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15006-2022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44657</v>
      </c>
      <c r="E35" s="1" t="n">
        <v>46307</v>
      </c>
      <c r="F35" t="inlineStr">
        <is>
          <t>VÄSTRA GÖTALANDS LÄN</t>
        </is>
      </c>
      <c r="G35" t="inlineStr">
        <is>
          <t>ORUST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8286-2022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44610</v>
      </c>
      <c r="E36" s="1" t="n">
        <v>46307</v>
      </c>
      <c r="F36" t="inlineStr">
        <is>
          <t>VÄSTRA GÖTALANDS LÄN</t>
        </is>
      </c>
      <c r="G36" t="inlineStr">
        <is>
          <t>ORUST</t>
        </is>
      </c>
      <c r="I36" t="n">
        <v>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46307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46307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46307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71890-2021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46307</v>
      </c>
      <c r="F40" t="inlineStr">
        <is>
          <t>VÄSTRA GÖTALANDS LÄN</t>
        </is>
      </c>
      <c r="G40" t="inlineStr">
        <is>
          <t>ORUST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46307</v>
      </c>
      <c r="F41" t="inlineStr">
        <is>
          <t>VÄSTRA GÖTALANDS LÄN</t>
        </is>
      </c>
      <c r="G41" t="inlineStr">
        <is>
          <t>ORUST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46307</v>
      </c>
      <c r="F42" t="inlineStr">
        <is>
          <t>VÄSTRA GÖTALANDS LÄN</t>
        </is>
      </c>
      <c r="G42" t="inlineStr">
        <is>
          <t>ORUST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46307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34380-2022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46307</v>
      </c>
      <c r="F44" t="inlineStr">
        <is>
          <t>VÄSTRA GÖTALANDS LÄN</t>
        </is>
      </c>
      <c r="G44" t="inlineStr">
        <is>
          <t>ORUST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46708-2023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46307</v>
      </c>
      <c r="F45" t="inlineStr">
        <is>
          <t>VÄSTRA GÖTALANDS LÄN</t>
        </is>
      </c>
      <c r="G45" t="inlineStr">
        <is>
          <t>ORUST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45558</v>
      </c>
      <c r="E46" s="1" t="n">
        <v>46307</v>
      </c>
      <c r="F46" t="inlineStr">
        <is>
          <t>VÄSTRA GÖTALANDS LÄN</t>
        </is>
      </c>
      <c r="G46" t="inlineStr">
        <is>
          <t>ORUST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46307</v>
      </c>
      <c r="F47" t="inlineStr">
        <is>
          <t>VÄSTRA GÖTALANDS LÄN</t>
        </is>
      </c>
      <c r="G47" t="inlineStr">
        <is>
          <t>ORUST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44655</v>
      </c>
      <c r="E48" s="1" t="n">
        <v>46307</v>
      </c>
      <c r="F48" t="inlineStr">
        <is>
          <t>VÄSTRA GÖTALANDS LÄN</t>
        </is>
      </c>
      <c r="G48" t="inlineStr">
        <is>
          <t>ORUST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45454</v>
      </c>
      <c r="E49" s="1" t="n">
        <v>46307</v>
      </c>
      <c r="F49" t="inlineStr">
        <is>
          <t>VÄSTRA GÖTALANDS LÄN</t>
        </is>
      </c>
      <c r="G49" t="inlineStr">
        <is>
          <t>ORUST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45667</v>
      </c>
      <c r="E50" s="1" t="n">
        <v>46307</v>
      </c>
      <c r="F50" t="inlineStr">
        <is>
          <t>VÄSTRA GÖTALANDS LÄN</t>
        </is>
      </c>
      <c r="G50" t="inlineStr">
        <is>
          <t>ORUST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46307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46307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44919</v>
      </c>
      <c r="E53" s="1" t="n">
        <v>46307</v>
      </c>
      <c r="F53" t="inlineStr">
        <is>
          <t>VÄSTRA GÖTALANDS LÄN</t>
        </is>
      </c>
      <c r="G53" t="inlineStr">
        <is>
          <t>ORUST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45334</v>
      </c>
      <c r="E54" s="1" t="n">
        <v>46307</v>
      </c>
      <c r="F54" t="inlineStr">
        <is>
          <t>VÄSTRA GÖTALANDS LÄN</t>
        </is>
      </c>
      <c r="G54" t="inlineStr">
        <is>
          <t>ORUST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41063-2025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46307</v>
      </c>
      <c r="F55" t="inlineStr">
        <is>
          <t>VÄSTRA GÖTALANDS LÄN</t>
        </is>
      </c>
      <c r="G55" t="inlineStr">
        <is>
          <t>ORUST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46307</v>
      </c>
      <c r="F56" t="inlineStr">
        <is>
          <t>VÄSTRA GÖTALANDS LÄN</t>
        </is>
      </c>
      <c r="G56" t="inlineStr">
        <is>
          <t>ORUST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45339</v>
      </c>
      <c r="E57" s="1" t="n">
        <v>46307</v>
      </c>
      <c r="F57" t="inlineStr">
        <is>
          <t>VÄSTRA GÖTALANDS LÄN</t>
        </is>
      </c>
      <c r="G57" t="inlineStr">
        <is>
          <t>ORUST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45005</v>
      </c>
      <c r="E58" s="1" t="n">
        <v>46307</v>
      </c>
      <c r="F58" t="inlineStr">
        <is>
          <t>VÄSTRA GÖTALANDS LÄN</t>
        </is>
      </c>
      <c r="G58" t="inlineStr">
        <is>
          <t>ORUST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44888</v>
      </c>
      <c r="E59" s="1" t="n">
        <v>46307</v>
      </c>
      <c r="F59" t="inlineStr">
        <is>
          <t>VÄSTRA GÖTALANDS LÄN</t>
        </is>
      </c>
      <c r="G59" t="inlineStr">
        <is>
          <t>ORUST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45645</v>
      </c>
      <c r="E60" s="1" t="n">
        <v>46307</v>
      </c>
      <c r="F60" t="inlineStr">
        <is>
          <t>VÄSTRA GÖTALANDS LÄN</t>
        </is>
      </c>
      <c r="G60" t="inlineStr">
        <is>
          <t>ORUST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50562-2024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45601</v>
      </c>
      <c r="E61" s="1" t="n">
        <v>46307</v>
      </c>
      <c r="F61" t="inlineStr">
        <is>
          <t>VÄSTRA GÖTALANDS LÄN</t>
        </is>
      </c>
      <c r="G61" t="inlineStr">
        <is>
          <t>ORUST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46307</v>
      </c>
      <c r="F62" t="inlineStr">
        <is>
          <t>VÄSTRA GÖTALANDS LÄN</t>
        </is>
      </c>
      <c r="G62" t="inlineStr">
        <is>
          <t>ORUST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45903</v>
      </c>
      <c r="E63" s="1" t="n">
        <v>46307</v>
      </c>
      <c r="F63" t="inlineStr">
        <is>
          <t>VÄSTRA GÖTALANDS LÄN</t>
        </is>
      </c>
      <c r="G63" t="inlineStr">
        <is>
          <t>ORUST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45343</v>
      </c>
      <c r="E64" s="1" t="n">
        <v>46307</v>
      </c>
      <c r="F64" t="inlineStr">
        <is>
          <t>VÄSTRA GÖTALANDS LÄN</t>
        </is>
      </c>
      <c r="G64" t="inlineStr">
        <is>
          <t>ORUST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46307</v>
      </c>
      <c r="F65" t="inlineStr">
        <is>
          <t>VÄSTRA GÖTALANDS LÄN</t>
        </is>
      </c>
      <c r="G65" t="inlineStr">
        <is>
          <t>ORUST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46307</v>
      </c>
      <c r="F66" t="inlineStr">
        <is>
          <t>VÄSTRA GÖTALANDS LÄN</t>
        </is>
      </c>
      <c r="G66" t="inlineStr">
        <is>
          <t>ORUST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46307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46307</v>
      </c>
      <c r="F68" t="inlineStr">
        <is>
          <t>VÄSTRA GÖTALANDS LÄN</t>
        </is>
      </c>
      <c r="G68" t="inlineStr">
        <is>
          <t>ORUST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46307</v>
      </c>
      <c r="F69" t="inlineStr">
        <is>
          <t>VÄSTRA GÖTALANDS LÄN</t>
        </is>
      </c>
      <c r="G69" t="inlineStr">
        <is>
          <t>ORUST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32175-2024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45511</v>
      </c>
      <c r="E70" s="1" t="n">
        <v>46307</v>
      </c>
      <c r="F70" t="inlineStr">
        <is>
          <t>VÄSTRA GÖTALANDS LÄN</t>
        </is>
      </c>
      <c r="G70" t="inlineStr">
        <is>
          <t>ORUST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63626-2023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45275</v>
      </c>
      <c r="E71" s="1" t="n">
        <v>46307</v>
      </c>
      <c r="F71" t="inlineStr">
        <is>
          <t>VÄSTRA GÖTALANDS LÄN</t>
        </is>
      </c>
      <c r="G71" t="inlineStr">
        <is>
          <t>ORUST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45491</v>
      </c>
      <c r="E72" s="1" t="n">
        <v>46307</v>
      </c>
      <c r="F72" t="inlineStr">
        <is>
          <t>VÄSTRA GÖTALANDS LÄN</t>
        </is>
      </c>
      <c r="G72" t="inlineStr">
        <is>
          <t>ORUST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46307</v>
      </c>
      <c r="F73" t="inlineStr">
        <is>
          <t>VÄSTRA GÖTALANDS LÄN</t>
        </is>
      </c>
      <c r="G73" t="inlineStr">
        <is>
          <t>ORUST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44924</v>
      </c>
      <c r="E74" s="1" t="n">
        <v>46307</v>
      </c>
      <c r="F74" t="inlineStr">
        <is>
          <t>VÄSTRA GÖTALANDS LÄN</t>
        </is>
      </c>
      <c r="G74" t="inlineStr">
        <is>
          <t>ORUST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45790</v>
      </c>
      <c r="E75" s="1" t="n">
        <v>46307</v>
      </c>
      <c r="F75" t="inlineStr">
        <is>
          <t>VÄSTRA GÖTALANDS LÄN</t>
        </is>
      </c>
      <c r="G75" t="inlineStr">
        <is>
          <t>ORUST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45718</v>
      </c>
      <c r="E76" s="1" t="n">
        <v>46307</v>
      </c>
      <c r="F76" t="inlineStr">
        <is>
          <t>VÄSTRA GÖTALANDS LÄN</t>
        </is>
      </c>
      <c r="G76" t="inlineStr">
        <is>
          <t>ORUST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46307</v>
      </c>
      <c r="F77" t="inlineStr">
        <is>
          <t>VÄSTRA GÖTALANDS LÄN</t>
        </is>
      </c>
      <c r="G77" t="inlineStr">
        <is>
          <t>ORUST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46307</v>
      </c>
      <c r="F78" t="inlineStr">
        <is>
          <t>VÄSTRA GÖTALANDS LÄN</t>
        </is>
      </c>
      <c r="G78" t="inlineStr">
        <is>
          <t>ORUST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46307</v>
      </c>
      <c r="F79" t="inlineStr">
        <is>
          <t>VÄSTRA GÖTALANDS LÄN</t>
        </is>
      </c>
      <c r="G79" t="inlineStr">
        <is>
          <t>ORUST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46307</v>
      </c>
      <c r="F80" t="inlineStr">
        <is>
          <t>VÄSTRA GÖTALANDS LÄN</t>
        </is>
      </c>
      <c r="G80" t="inlineStr">
        <is>
          <t>ORUST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45742</v>
      </c>
      <c r="E81" s="1" t="n">
        <v>46307</v>
      </c>
      <c r="F81" t="inlineStr">
        <is>
          <t>VÄSTRA GÖTALANDS LÄN</t>
        </is>
      </c>
      <c r="G81" t="inlineStr">
        <is>
          <t>ORUST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46307</v>
      </c>
      <c r="F82" t="inlineStr">
        <is>
          <t>VÄSTRA GÖTALANDS LÄN</t>
        </is>
      </c>
      <c r="G82" t="inlineStr">
        <is>
          <t>ORUST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45523</v>
      </c>
      <c r="E83" s="1" t="n">
        <v>46307</v>
      </c>
      <c r="F83" t="inlineStr">
        <is>
          <t>VÄSTRA GÖTALANDS LÄN</t>
        </is>
      </c>
      <c r="G83" t="inlineStr">
        <is>
          <t>ORUST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46307</v>
      </c>
      <c r="F84" t="inlineStr">
        <is>
          <t>VÄSTRA GÖTALANDS LÄN</t>
        </is>
      </c>
      <c r="G84" t="inlineStr">
        <is>
          <t>ORUST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45772</v>
      </c>
      <c r="E85" s="1" t="n">
        <v>46307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46307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46307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46307</v>
      </c>
      <c r="F88" t="inlineStr">
        <is>
          <t>VÄSTRA GÖTALANDS LÄN</t>
        </is>
      </c>
      <c r="G88" t="inlineStr">
        <is>
          <t>ORUST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46307</v>
      </c>
      <c r="F89" t="inlineStr">
        <is>
          <t>VÄSTRA GÖTALANDS LÄN</t>
        </is>
      </c>
      <c r="G89" t="inlineStr">
        <is>
          <t>ORUST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44417-2024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45573</v>
      </c>
      <c r="E90" s="1" t="n">
        <v>46307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45574</v>
      </c>
      <c r="E91" s="1" t="n">
        <v>46307</v>
      </c>
      <c r="F91" t="inlineStr">
        <is>
          <t>VÄSTRA GÖTALANDS LÄN</t>
        </is>
      </c>
      <c r="G91" t="inlineStr">
        <is>
          <t>ORUST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45813</v>
      </c>
      <c r="E92" s="1" t="n">
        <v>46307</v>
      </c>
      <c r="F92" t="inlineStr">
        <is>
          <t>VÄSTRA GÖTALANDS LÄN</t>
        </is>
      </c>
      <c r="G92" t="inlineStr">
        <is>
          <t>ORUST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54279-2024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46307</v>
      </c>
      <c r="F93" t="inlineStr">
        <is>
          <t>VÄSTRA GÖTALANDS LÄN</t>
        </is>
      </c>
      <c r="G93" t="inlineStr">
        <is>
          <t>ORUST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46307</v>
      </c>
      <c r="F94" t="inlineStr">
        <is>
          <t>VÄSTRA GÖTALANDS LÄN</t>
        </is>
      </c>
      <c r="G94" t="inlineStr">
        <is>
          <t>ORUST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45130</v>
      </c>
      <c r="E95" s="1" t="n">
        <v>46307</v>
      </c>
      <c r="F95" t="inlineStr">
        <is>
          <t>VÄSTRA GÖTALANDS LÄN</t>
        </is>
      </c>
      <c r="G95" t="inlineStr">
        <is>
          <t>ORUST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46307</v>
      </c>
      <c r="F96" t="inlineStr">
        <is>
          <t>VÄSTRA GÖTALANDS LÄN</t>
        </is>
      </c>
      <c r="G96" t="inlineStr">
        <is>
          <t>ORUST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46307</v>
      </c>
      <c r="F97" t="inlineStr">
        <is>
          <t>VÄSTRA GÖTALANDS LÄN</t>
        </is>
      </c>
      <c r="G97" t="inlineStr">
        <is>
          <t>ORUST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46307</v>
      </c>
      <c r="F98" t="inlineStr">
        <is>
          <t>VÄSTRA GÖTALANDS LÄN</t>
        </is>
      </c>
      <c r="G98" t="inlineStr">
        <is>
          <t>ORUST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46307</v>
      </c>
      <c r="F99" t="inlineStr">
        <is>
          <t>VÄSTRA GÖTALANDS LÄN</t>
        </is>
      </c>
      <c r="G99" t="inlineStr">
        <is>
          <t>ORUST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46307</v>
      </c>
      <c r="F100" t="inlineStr">
        <is>
          <t>VÄSTRA GÖTALANDS LÄN</t>
        </is>
      </c>
      <c r="G100" t="inlineStr">
        <is>
          <t>ORUST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46307</v>
      </c>
      <c r="F101" t="inlineStr">
        <is>
          <t>VÄSTRA GÖTALANDS LÄN</t>
        </is>
      </c>
      <c r="G101" t="inlineStr">
        <is>
          <t>ORUST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46307</v>
      </c>
      <c r="F102" t="inlineStr">
        <is>
          <t>VÄSTRA GÖTALANDS LÄN</t>
        </is>
      </c>
      <c r="G102" t="inlineStr">
        <is>
          <t>ORUST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34502-2025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46307</v>
      </c>
      <c r="F103" t="inlineStr">
        <is>
          <t>VÄSTRA GÖTALANDS LÄN</t>
        </is>
      </c>
      <c r="G103" t="inlineStr">
        <is>
          <t>ORUST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45872</v>
      </c>
      <c r="E104" s="1" t="n">
        <v>46307</v>
      </c>
      <c r="F104" t="inlineStr">
        <is>
          <t>VÄSTRA GÖTALANDS LÄN</t>
        </is>
      </c>
      <c r="G104" t="inlineStr">
        <is>
          <t>ORUST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46307</v>
      </c>
      <c r="F105" t="inlineStr">
        <is>
          <t>VÄSTRA GÖTALANDS LÄN</t>
        </is>
      </c>
      <c r="G105" t="inlineStr">
        <is>
          <t>ORUST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45014</v>
      </c>
      <c r="E106" s="1" t="n">
        <v>46307</v>
      </c>
      <c r="F106" t="inlineStr">
        <is>
          <t>VÄSTRA GÖTALANDS LÄN</t>
        </is>
      </c>
      <c r="G106" t="inlineStr">
        <is>
          <t>ORUST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46307</v>
      </c>
      <c r="F107" t="inlineStr">
        <is>
          <t>VÄSTRA GÖTALANDS LÄN</t>
        </is>
      </c>
      <c r="G107" t="inlineStr">
        <is>
          <t>ORUST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46307</v>
      </c>
      <c r="F108" t="inlineStr">
        <is>
          <t>VÄSTRA GÖTALANDS LÄN</t>
        </is>
      </c>
      <c r="G108" t="inlineStr">
        <is>
          <t>ORUST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19005-2023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45045</v>
      </c>
      <c r="E109" s="1" t="n">
        <v>46307</v>
      </c>
      <c r="F109" t="inlineStr">
        <is>
          <t>VÄSTRA GÖTALANDS LÄN</t>
        </is>
      </c>
      <c r="G109" t="inlineStr">
        <is>
          <t>ORUST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45523</v>
      </c>
      <c r="E110" s="1" t="n">
        <v>46307</v>
      </c>
      <c r="F110" t="inlineStr">
        <is>
          <t>VÄSTRA GÖTALANDS LÄN</t>
        </is>
      </c>
      <c r="G110" t="inlineStr">
        <is>
          <t>ORUST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45987</v>
      </c>
      <c r="E111" s="1" t="n">
        <v>46307</v>
      </c>
      <c r="F111" t="inlineStr">
        <is>
          <t>VÄSTRA GÖTALANDS LÄN</t>
        </is>
      </c>
      <c r="G111" t="inlineStr">
        <is>
          <t>ORUST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45641</v>
      </c>
      <c r="E112" s="1" t="n">
        <v>46307</v>
      </c>
      <c r="F112" t="inlineStr">
        <is>
          <t>VÄSTRA GÖTALANDS LÄN</t>
        </is>
      </c>
      <c r="G112" t="inlineStr">
        <is>
          <t>ORUST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58853-2025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45987</v>
      </c>
      <c r="E113" s="1" t="n">
        <v>46307</v>
      </c>
      <c r="F113" t="inlineStr">
        <is>
          <t>VÄSTRA GÖTALANDS LÄN</t>
        </is>
      </c>
      <c r="G113" t="inlineStr">
        <is>
          <t>ORUST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46307</v>
      </c>
      <c r="F114" t="inlineStr">
        <is>
          <t>VÄSTRA GÖTALANDS LÄN</t>
        </is>
      </c>
      <c r="G114" t="inlineStr">
        <is>
          <t>ORUST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46307</v>
      </c>
      <c r="F115" t="inlineStr">
        <is>
          <t>VÄSTRA GÖTALANDS LÄN</t>
        </is>
      </c>
      <c r="G115" t="inlineStr">
        <is>
          <t>ORUST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44899</v>
      </c>
      <c r="E116" s="1" t="n">
        <v>46307</v>
      </c>
      <c r="F116" t="inlineStr">
        <is>
          <t>VÄSTRA GÖTALANDS LÄN</t>
        </is>
      </c>
      <c r="G116" t="inlineStr">
        <is>
          <t>ORUST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46307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46120</v>
      </c>
      <c r="E118" s="1" t="n">
        <v>46307</v>
      </c>
      <c r="F118" t="inlineStr">
        <is>
          <t>VÄSTRA GÖTALANDS LÄN</t>
        </is>
      </c>
      <c r="G118" t="inlineStr">
        <is>
          <t>ORUST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46307</v>
      </c>
      <c r="F119" t="inlineStr">
        <is>
          <t>VÄSTRA GÖTALANDS LÄN</t>
        </is>
      </c>
      <c r="G119" t="inlineStr">
        <is>
          <t>ORUST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45467</v>
      </c>
      <c r="E120" s="1" t="n">
        <v>46307</v>
      </c>
      <c r="F120" t="inlineStr">
        <is>
          <t>VÄSTRA GÖTALANDS LÄN</t>
        </is>
      </c>
      <c r="G120" t="inlineStr">
        <is>
          <t>ORUST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44480</v>
      </c>
      <c r="E121" s="1" t="n">
        <v>46307</v>
      </c>
      <c r="F121" t="inlineStr">
        <is>
          <t>VÄSTRA GÖTALANDS LÄN</t>
        </is>
      </c>
      <c r="G121" t="inlineStr">
        <is>
          <t>ORUST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40328-2025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45895</v>
      </c>
      <c r="E122" s="1" t="n">
        <v>46307</v>
      </c>
      <c r="F122" t="inlineStr">
        <is>
          <t>VÄSTRA GÖTALANDS LÄN</t>
        </is>
      </c>
      <c r="G122" t="inlineStr">
        <is>
          <t>ORUST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46307</v>
      </c>
      <c r="F123" t="inlineStr">
        <is>
          <t>VÄSTRA GÖTALANDS LÄN</t>
        </is>
      </c>
      <c r="G123" t="inlineStr">
        <is>
          <t>ORUST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46307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45840</v>
      </c>
      <c r="E125" s="1" t="n">
        <v>46307</v>
      </c>
      <c r="F125" t="inlineStr">
        <is>
          <t>VÄSTRA GÖTALANDS LÄN</t>
        </is>
      </c>
      <c r="G125" t="inlineStr">
        <is>
          <t>ORUST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46307</v>
      </c>
      <c r="F126" t="inlineStr">
        <is>
          <t>VÄSTRA GÖTALANDS LÄN</t>
        </is>
      </c>
      <c r="G126" t="inlineStr">
        <is>
          <t>ORUST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45044</v>
      </c>
      <c r="E127" s="1" t="n">
        <v>46307</v>
      </c>
      <c r="F127" t="inlineStr">
        <is>
          <t>VÄSTRA GÖTALANDS LÄN</t>
        </is>
      </c>
      <c r="G127" t="inlineStr">
        <is>
          <t>ORUST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46307</v>
      </c>
      <c r="F128" t="inlineStr">
        <is>
          <t>VÄSTRA GÖTALANDS LÄN</t>
        </is>
      </c>
      <c r="G128" t="inlineStr">
        <is>
          <t>ORUST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46307</v>
      </c>
      <c r="F129" t="inlineStr">
        <is>
          <t>VÄSTRA GÖTALANDS LÄN</t>
        </is>
      </c>
      <c r="G129" t="inlineStr">
        <is>
          <t>ORUST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45181</v>
      </c>
      <c r="E130" s="1" t="n">
        <v>46307</v>
      </c>
      <c r="F130" t="inlineStr">
        <is>
          <t>VÄSTRA GÖTALANDS LÄN</t>
        </is>
      </c>
      <c r="G130" t="inlineStr">
        <is>
          <t>ORUST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46044</v>
      </c>
      <c r="E131" s="1" t="n">
        <v>46307</v>
      </c>
      <c r="F131" t="inlineStr">
        <is>
          <t>VÄSTRA GÖTALANDS LÄN</t>
        </is>
      </c>
      <c r="G131" t="inlineStr">
        <is>
          <t>ORUST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46307</v>
      </c>
      <c r="F132" t="inlineStr">
        <is>
          <t>VÄSTRA GÖTALANDS LÄN</t>
        </is>
      </c>
      <c r="G132" t="inlineStr">
        <is>
          <t>ORUST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68727-2021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44529</v>
      </c>
      <c r="E133" s="1" t="n">
        <v>46307</v>
      </c>
      <c r="F133" t="inlineStr">
        <is>
          <t>VÄSTRA GÖTALANDS LÄN</t>
        </is>
      </c>
      <c r="G133" t="inlineStr">
        <is>
          <t>ORUST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46307</v>
      </c>
      <c r="F134" t="inlineStr">
        <is>
          <t>VÄSTRA GÖTALANDS LÄN</t>
        </is>
      </c>
      <c r="G134" t="inlineStr">
        <is>
          <t>ORUST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6739-2026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46307</v>
      </c>
      <c r="F135" t="inlineStr">
        <is>
          <t>VÄSTRA GÖTALANDS LÄN</t>
        </is>
      </c>
      <c r="G135" t="inlineStr">
        <is>
          <t>ORUST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46065</v>
      </c>
      <c r="E136" s="1" t="n">
        <v>46307</v>
      </c>
      <c r="F136" t="inlineStr">
        <is>
          <t>VÄSTRA GÖTALANDS LÄN</t>
        </is>
      </c>
      <c r="G136" t="inlineStr">
        <is>
          <t>ORUST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46070</v>
      </c>
      <c r="E137" s="1" t="n">
        <v>46307</v>
      </c>
      <c r="F137" t="inlineStr">
        <is>
          <t>VÄSTRA GÖTALANDS LÄN</t>
        </is>
      </c>
      <c r="G137" t="inlineStr">
        <is>
          <t>ORUST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46307</v>
      </c>
      <c r="F138" t="inlineStr">
        <is>
          <t>VÄSTRA GÖTALANDS LÄN</t>
        </is>
      </c>
      <c r="G138" t="inlineStr">
        <is>
          <t>ORUST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46075</v>
      </c>
      <c r="E139" s="1" t="n">
        <v>46307</v>
      </c>
      <c r="F139" t="inlineStr">
        <is>
          <t>VÄSTRA GÖTALANDS LÄN</t>
        </is>
      </c>
      <c r="G139" t="inlineStr">
        <is>
          <t>ORUST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46086</v>
      </c>
      <c r="E140" s="1" t="n">
        <v>46307</v>
      </c>
      <c r="F140" t="inlineStr">
        <is>
          <t>VÄSTRA GÖTALANDS LÄN</t>
        </is>
      </c>
      <c r="G140" t="inlineStr">
        <is>
          <t>ORUST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45396</v>
      </c>
      <c r="E141" s="1" t="n">
        <v>46307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46307</v>
      </c>
      <c r="F142" t="inlineStr">
        <is>
          <t>VÄSTRA GÖTALANDS LÄN</t>
        </is>
      </c>
      <c r="G142" t="inlineStr">
        <is>
          <t>ORUST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46170</v>
      </c>
      <c r="E143" s="1" t="n">
        <v>46307</v>
      </c>
      <c r="F143" t="inlineStr">
        <is>
          <t>VÄSTRA GÖTALANDS LÄN</t>
        </is>
      </c>
      <c r="G143" t="inlineStr">
        <is>
          <t>ORUST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46307</v>
      </c>
      <c r="F144" t="inlineStr">
        <is>
          <t>VÄSTRA GÖTALANDS LÄN</t>
        </is>
      </c>
      <c r="G144" t="inlineStr">
        <is>
          <t>ORUST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46175</v>
      </c>
      <c r="E145" s="1" t="n">
        <v>46307</v>
      </c>
      <c r="F145" t="inlineStr">
        <is>
          <t>VÄSTRA GÖTALANDS LÄN</t>
        </is>
      </c>
      <c r="G145" t="inlineStr">
        <is>
          <t>ORUST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46307</v>
      </c>
      <c r="F146" t="inlineStr">
        <is>
          <t>VÄSTRA GÖTALANDS LÄN</t>
        </is>
      </c>
      <c r="G146" t="inlineStr">
        <is>
          <t>ORUST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36428-2026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46269</v>
      </c>
      <c r="E147" s="1" t="n">
        <v>46307</v>
      </c>
      <c r="F147" t="inlineStr">
        <is>
          <t>VÄSTRA GÖTALANDS LÄN</t>
        </is>
      </c>
      <c r="G147" t="inlineStr">
        <is>
          <t>ORUST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46280</v>
      </c>
      <c r="E148" s="1" t="n">
        <v>46307</v>
      </c>
      <c r="F148" t="inlineStr">
        <is>
          <t>VÄSTRA GÖTALANDS LÄN</t>
        </is>
      </c>
      <c r="G148" t="inlineStr">
        <is>
          <t>ORUST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46307</v>
      </c>
      <c r="F149" t="inlineStr">
        <is>
          <t>VÄSTRA GÖTALANDS LÄN</t>
        </is>
      </c>
      <c r="G149" t="inlineStr">
        <is>
          <t>ORUST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46300</v>
      </c>
      <c r="E150" s="1" t="n">
        <v>46307</v>
      </c>
      <c r="F150" t="inlineStr">
        <is>
          <t>VÄSTRA GÖTALANDS LÄN</t>
        </is>
      </c>
      <c r="G150" t="inlineStr">
        <is>
          <t>ORUST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46213</v>
      </c>
      <c r="E151" s="1" t="n">
        <v>46307</v>
      </c>
      <c r="F151" t="inlineStr">
        <is>
          <t>VÄSTRA GÖTALANDS LÄN</t>
        </is>
      </c>
      <c r="G151" t="inlineStr">
        <is>
          <t>ORUST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46304</v>
      </c>
      <c r="E152" s="1" t="n">
        <v>46307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46304</v>
      </c>
      <c r="E153" s="1" t="n">
        <v>46307</v>
      </c>
      <c r="F153" t="inlineStr">
        <is>
          <t>VÄSTRA GÖTALANDS LÄN</t>
        </is>
      </c>
      <c r="G153" t="inlineStr">
        <is>
          <t>ORUST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46307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2026-10-12T02:00:21Z</dcterms:created>
  <dcterms:modified xmlns:dcterms="http://purl.org/dc/terms/" xmlns:xsi="http://www.w3.org/2001/XMLSchema-instance" xsi:type="dcterms:W3CDTF">2026-10-12T02:00:21Z</dcterms:modified>
</cp:coreProperties>
</file>