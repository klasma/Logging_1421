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46263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46263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46263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46263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46263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13243-2023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45002</v>
      </c>
      <c r="E13" s="1" t="n">
        <v>46263</v>
      </c>
      <c r="F13" t="inlineStr">
        <is>
          <t>VÄSTRA GÖTALANDS LÄN</t>
        </is>
      </c>
      <c r="G13" t="inlineStr">
        <is>
          <t>ORUST</t>
        </is>
      </c>
      <c r="I13" t="n">
        <v>4.8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HYPERLINK("https://klasma.github.io/Logging_1421/artfynd/A 13243-2023 artfynd.xlsx", "A 13243-2023")</f>
        <v/>
      </c>
      <c r="X13">
        <f>HYPERLINK("https://klasma.github.io/Logging_1421/kartor/A 13243-2023 karta.png", "A 13243-2023")</f>
        <v/>
      </c>
      <c r="Y13">
        <f>HYPERLINK("https://klasma.github.io/Logging_1421/kartor_geotiff/A 13243-2023 georefererad karta.tif", "A 13243-2023")</f>
        <v/>
      </c>
      <c r="AA13">
        <f>HYPERLINK("https://klasma.github.io/Logging_1421/klagomål/A 13243-2023 FSC-klagomål.docx", "A 13243-2023")</f>
        <v/>
      </c>
      <c r="AB13">
        <f>HYPERLINK("https://klasma.github.io/Logging_1421/klagomålsmail/A 13243-2023 FSC-klagomål mail.docx", "A 13243-2023")</f>
        <v/>
      </c>
      <c r="AC13">
        <f>HYPERLINK("https://klasma.github.io/Logging_1421/tillsyn/A 13243-2023 tillsynsbegäran.docx", "A 13243-2023")</f>
        <v/>
      </c>
      <c r="AD13">
        <f>HYPERLINK("https://klasma.github.io/Logging_1421/tillsynsmail/A 13243-2023 tillsynsbegäran mail.docx", "A 13243-2023")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46263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46263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46263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46263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46263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46263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46263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49047-2025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45937</v>
      </c>
      <c r="E21" s="1" t="n">
        <v>46263</v>
      </c>
      <c r="F21" t="inlineStr">
        <is>
          <t>VÄSTRA GÖTALANDS LÄN</t>
        </is>
      </c>
      <c r="G21" t="inlineStr">
        <is>
          <t>ORUST</t>
        </is>
      </c>
      <c r="I21" t="n">
        <v>3.2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Granspira</t>
        </is>
      </c>
      <c r="W21">
        <f>HYPERLINK("https://klasma.github.io/Logging_1421/artfynd/A 49047-2025 artfynd.xlsx", "A 49047-2025")</f>
        <v/>
      </c>
      <c r="X21">
        <f>HYPERLINK("https://klasma.github.io/Logging_1421/kartor/A 49047-2025 karta.png", "A 49047-2025")</f>
        <v/>
      </c>
      <c r="Y21">
        <f>HYPERLINK("https://klasma.github.io/Logging_1421/kartor_geotiff/A 49047-2025 georefererad karta.tif", "A 49047-2025")</f>
        <v/>
      </c>
      <c r="AA21">
        <f>HYPERLINK("https://klasma.github.io/Logging_1421/klagomål/A 49047-2025 FSC-klagomål.docx", "A 49047-2025")</f>
        <v/>
      </c>
      <c r="AB21">
        <f>HYPERLINK("https://klasma.github.io/Logging_1421/klagomålsmail/A 49047-2025 FSC-klagomål mail.docx", "A 49047-2025")</f>
        <v/>
      </c>
      <c r="AC21">
        <f>HYPERLINK("https://klasma.github.io/Logging_1421/tillsyn/A 49047-2025 tillsynsbegäran.docx", "A 49047-2025")</f>
        <v/>
      </c>
      <c r="AD21">
        <f>HYPERLINK("https://klasma.github.io/Logging_1421/tillsynsmail/A 49047-2025 tillsynsbegäran mail.docx", "A 49047-2025")</f>
        <v/>
      </c>
    </row>
    <row r="22" ht="15" customHeight="1">
      <c r="A22" t="inlineStr">
        <is>
          <t>A 6986-2024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46263</v>
      </c>
      <c r="F22" t="inlineStr">
        <is>
          <t>VÄSTRA GÖTALANDS LÄN</t>
        </is>
      </c>
      <c r="G22" t="inlineStr">
        <is>
          <t>ORUST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HYPERLINK("https://klasma.github.io/Logging_1421/artfynd/A 6986-2024 artfynd.xlsx", "A 6986-2024")</f>
        <v/>
      </c>
      <c r="X22">
        <f>HYPERLINK("https://klasma.github.io/Logging_1421/kartor/A 6986-2024 karta.png", "A 6986-2024")</f>
        <v/>
      </c>
      <c r="Y22">
        <f>HYPERLINK("https://klasma.github.io/Logging_1421/kartor_geotiff/A 6986-2024 georefererad karta.tif", "A 6986-2024")</f>
        <v/>
      </c>
      <c r="AA22">
        <f>HYPERLINK("https://klasma.github.io/Logging_1421/klagomål/A 6986-2024 FSC-klagomål.docx", "A 6986-2024")</f>
        <v/>
      </c>
      <c r="AB22">
        <f>HYPERLINK("https://klasma.github.io/Logging_1421/klagomålsmail/A 6986-2024 FSC-klagomål mail.docx", "A 6986-2024")</f>
        <v/>
      </c>
      <c r="AC22">
        <f>HYPERLINK("https://klasma.github.io/Logging_1421/tillsyn/A 6986-2024 tillsynsbegäran.docx", "A 6986-2024")</f>
        <v/>
      </c>
      <c r="AD22">
        <f>HYPERLINK("https://klasma.github.io/Logging_1421/tillsynsmail/A 6986-2024 tillsynsbegäran mail.docx", "A 6986-2024")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46263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46263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46263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23921-2026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46263</v>
      </c>
      <c r="F26" t="inlineStr">
        <is>
          <t>VÄSTRA GÖTALANDS LÄN</t>
        </is>
      </c>
      <c r="G26" t="inlineStr">
        <is>
          <t>ORUST</t>
        </is>
      </c>
      <c r="I26" t="n">
        <v>3.6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Västlig hakmossa</t>
        </is>
      </c>
      <c r="W26">
        <f>HYPERLINK("https://klasma.github.io/Logging_1421/artfynd/A 23921-2026 artfynd.xlsx", "A 23921-2026")</f>
        <v/>
      </c>
      <c r="X26">
        <f>HYPERLINK("https://klasma.github.io/Logging_1421/kartor/A 23921-2026 karta.png", "A 23921-2026")</f>
        <v/>
      </c>
      <c r="Y26">
        <f>HYPERLINK("https://klasma.github.io/Logging_1421/kartor_geotiff/A 23921-2026 georefererad karta.tif", "A 23921-2026")</f>
        <v/>
      </c>
      <c r="AA26">
        <f>HYPERLINK("https://klasma.github.io/Logging_1421/klagomål/A 23921-2026 FSC-klagomål.docx", "A 23921-2026")</f>
        <v/>
      </c>
      <c r="AB26">
        <f>HYPERLINK("https://klasma.github.io/Logging_1421/klagomålsmail/A 23921-2026 FSC-klagomål mail.docx", "A 23921-2026")</f>
        <v/>
      </c>
      <c r="AC26">
        <f>HYPERLINK("https://klasma.github.io/Logging_1421/tillsyn/A 23921-2026 tillsynsbegäran.docx", "A 23921-2026")</f>
        <v/>
      </c>
      <c r="AD26">
        <f>HYPERLINK("https://klasma.github.io/Logging_1421/tillsynsmail/A 23921-2026 tillsynsbegäran mail.docx", "A 23921-2026")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46263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41056-2025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46263</v>
      </c>
      <c r="F28" t="inlineStr">
        <is>
          <t>VÄSTRA GÖTALANDS LÄN</t>
        </is>
      </c>
      <c r="G28" t="inlineStr">
        <is>
          <t>ORUST</t>
        </is>
      </c>
      <c r="I28" t="n">
        <v>3.3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HYPERLINK("https://klasma.github.io/Logging_1421/artfynd/A 41056-2025 artfynd.xlsx", "A 41056-2025")</f>
        <v/>
      </c>
      <c r="X28">
        <f>HYPERLINK("https://klasma.github.io/Logging_1421/kartor/A 41056-2025 karta.png", "A 41056-2025")</f>
        <v/>
      </c>
      <c r="Y28">
        <f>HYPERLINK("https://klasma.github.io/Logging_1421/kartor_geotiff/A 41056-2025 georefererad karta.tif", "A 41056-2025")</f>
        <v/>
      </c>
      <c r="AA28">
        <f>HYPERLINK("https://klasma.github.io/Logging_1421/klagomål/A 41056-2025 FSC-klagomål.docx", "A 41056-2025")</f>
        <v/>
      </c>
      <c r="AB28">
        <f>HYPERLINK("https://klasma.github.io/Logging_1421/klagomålsmail/A 41056-2025 FSC-klagomål mail.docx", "A 41056-2025")</f>
        <v/>
      </c>
      <c r="AC28">
        <f>HYPERLINK("https://klasma.github.io/Logging_1421/tillsyn/A 41056-2025 tillsynsbegäran.docx", "A 41056-2025")</f>
        <v/>
      </c>
      <c r="AD28">
        <f>HYPERLINK("https://klasma.github.io/Logging_1421/tillsynsmail/A 41056-2025 tillsynsbegäran mail.docx", "A 41056-2025")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46263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46263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46263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46263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46263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46263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46263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46263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46263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46263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46263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46263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46263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46263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46263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46263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46263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46263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46263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46263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46263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46263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49134-2021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44453</v>
      </c>
      <c r="E51" s="1" t="n">
        <v>46263</v>
      </c>
      <c r="F51" t="inlineStr">
        <is>
          <t>VÄSTRA GÖTALANDS LÄN</t>
        </is>
      </c>
      <c r="G51" t="inlineStr">
        <is>
          <t>ORUST</t>
        </is>
      </c>
      <c r="H51" t="inlineStr">
        <is>
          <t>Kommuner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46263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45667</v>
      </c>
      <c r="E53" s="1" t="n">
        <v>46263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45790</v>
      </c>
      <c r="E54" s="1" t="n">
        <v>46263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46263</v>
      </c>
      <c r="F55" t="inlineStr">
        <is>
          <t>VÄSTRA GÖTALANDS LÄN</t>
        </is>
      </c>
      <c r="G55" t="inlineStr">
        <is>
          <t>ORUST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45718</v>
      </c>
      <c r="E56" s="1" t="n">
        <v>46263</v>
      </c>
      <c r="F56" t="inlineStr">
        <is>
          <t>VÄSTRA GÖTALANDS LÄN</t>
        </is>
      </c>
      <c r="G56" t="inlineStr">
        <is>
          <t>ORUST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46263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13536-2025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46263</v>
      </c>
      <c r="F58" t="inlineStr">
        <is>
          <t>VÄSTRA GÖTALANDS LÄN</t>
        </is>
      </c>
      <c r="G58" t="inlineStr">
        <is>
          <t>ORUST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46263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46263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46263</v>
      </c>
      <c r="F61" t="inlineStr">
        <is>
          <t>VÄSTRA GÖTALANDS LÄN</t>
        </is>
      </c>
      <c r="G61" t="inlineStr">
        <is>
          <t>ORUST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46263</v>
      </c>
      <c r="F62" t="inlineStr">
        <is>
          <t>VÄSTRA GÖTALANDS LÄN</t>
        </is>
      </c>
      <c r="G62" t="inlineStr">
        <is>
          <t>ORUST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46263</v>
      </c>
      <c r="F63" t="inlineStr">
        <is>
          <t>VÄSTRA GÖTALANDS LÄN</t>
        </is>
      </c>
      <c r="G63" t="inlineStr">
        <is>
          <t>ORUST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46263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46263</v>
      </c>
      <c r="F65" t="inlineStr">
        <is>
          <t>VÄSTRA GÖTALANDS LÄN</t>
        </is>
      </c>
      <c r="G65" t="inlineStr">
        <is>
          <t>ORUST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46263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45523</v>
      </c>
      <c r="E67" s="1" t="n">
        <v>46263</v>
      </c>
      <c r="F67" t="inlineStr">
        <is>
          <t>VÄSTRA GÖTALANDS LÄN</t>
        </is>
      </c>
      <c r="G67" t="inlineStr">
        <is>
          <t>ORUST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46263</v>
      </c>
      <c r="F68" t="inlineStr">
        <is>
          <t>VÄSTRA GÖTALANDS LÄN</t>
        </is>
      </c>
      <c r="G68" t="inlineStr">
        <is>
          <t>ORUST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46263</v>
      </c>
      <c r="F69" t="inlineStr">
        <is>
          <t>VÄSTRA GÖTALANDS LÄN</t>
        </is>
      </c>
      <c r="G69" t="inlineStr">
        <is>
          <t>ORUST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46263</v>
      </c>
      <c r="F70" t="inlineStr">
        <is>
          <t>VÄSTRA GÖTALANDS LÄN</t>
        </is>
      </c>
      <c r="G70" t="inlineStr">
        <is>
          <t>ORUST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46263</v>
      </c>
      <c r="F71" t="inlineStr">
        <is>
          <t>VÄSTRA GÖTALANDS LÄN</t>
        </is>
      </c>
      <c r="G71" t="inlineStr">
        <is>
          <t>ORUST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44899</v>
      </c>
      <c r="E72" s="1" t="n">
        <v>46263</v>
      </c>
      <c r="F72" t="inlineStr">
        <is>
          <t>VÄSTRA GÖTALANDS LÄN</t>
        </is>
      </c>
      <c r="G72" t="inlineStr">
        <is>
          <t>ORUST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46263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45573</v>
      </c>
      <c r="E74" s="1" t="n">
        <v>46263</v>
      </c>
      <c r="F74" t="inlineStr">
        <is>
          <t>VÄSTRA GÖTALANDS LÄN</t>
        </is>
      </c>
      <c r="G74" t="inlineStr">
        <is>
          <t>ORUST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45491</v>
      </c>
      <c r="E75" s="1" t="n">
        <v>46263</v>
      </c>
      <c r="F75" t="inlineStr">
        <is>
          <t>VÄSTRA GÖTALANDS LÄN</t>
        </is>
      </c>
      <c r="G75" t="inlineStr">
        <is>
          <t>ORUST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46263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46263</v>
      </c>
      <c r="F77" t="inlineStr">
        <is>
          <t>VÄSTRA GÖTALANDS LÄN</t>
        </is>
      </c>
      <c r="G77" t="inlineStr">
        <is>
          <t>ORUST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44924</v>
      </c>
      <c r="E78" s="1" t="n">
        <v>46263</v>
      </c>
      <c r="F78" t="inlineStr">
        <is>
          <t>VÄSTRA GÖTALANDS LÄN</t>
        </is>
      </c>
      <c r="G78" t="inlineStr">
        <is>
          <t>ORUST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46263</v>
      </c>
      <c r="F79" t="inlineStr">
        <is>
          <t>VÄSTRA GÖTALANDS LÄN</t>
        </is>
      </c>
      <c r="G79" t="inlineStr">
        <is>
          <t>ORUST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46263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46263</v>
      </c>
      <c r="F81" t="inlineStr">
        <is>
          <t>VÄSTRA GÖTALANDS LÄN</t>
        </is>
      </c>
      <c r="G81" t="inlineStr">
        <is>
          <t>ORUST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46263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45992</v>
      </c>
      <c r="E83" s="1" t="n">
        <v>46263</v>
      </c>
      <c r="F83" t="inlineStr">
        <is>
          <t>VÄSTRA GÖTALANDS LÄN</t>
        </is>
      </c>
      <c r="G83" t="inlineStr">
        <is>
          <t>ORUST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46263</v>
      </c>
      <c r="F84" t="inlineStr">
        <is>
          <t>VÄSTRA GÖTALANDS LÄN</t>
        </is>
      </c>
      <c r="G84" t="inlineStr">
        <is>
          <t>ORUST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46263</v>
      </c>
      <c r="F85" t="inlineStr">
        <is>
          <t>VÄSTRA GÖTALANDS LÄN</t>
        </is>
      </c>
      <c r="G85" t="inlineStr">
        <is>
          <t>ORUST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46263</v>
      </c>
      <c r="F86" t="inlineStr">
        <is>
          <t>VÄSTRA GÖTALANDS LÄN</t>
        </is>
      </c>
      <c r="G86" t="inlineStr">
        <is>
          <t>ORUST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46263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45772</v>
      </c>
      <c r="E88" s="1" t="n">
        <v>46263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46263</v>
      </c>
      <c r="F89" t="inlineStr">
        <is>
          <t>VÄSTRA GÖTALANDS LÄN</t>
        </is>
      </c>
      <c r="G89" t="inlineStr">
        <is>
          <t>ORUST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46263</v>
      </c>
      <c r="F90" t="inlineStr">
        <is>
          <t>VÄSTRA GÖTALANDS LÄN</t>
        </is>
      </c>
      <c r="G90" t="inlineStr">
        <is>
          <t>ORUST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46263</v>
      </c>
      <c r="F91" t="inlineStr">
        <is>
          <t>VÄSTRA GÖTALANDS LÄN</t>
        </is>
      </c>
      <c r="G91" t="inlineStr">
        <is>
          <t>ORUST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46263</v>
      </c>
      <c r="F92" t="inlineStr">
        <is>
          <t>VÄSTRA GÖTALANDS LÄN</t>
        </is>
      </c>
      <c r="G92" t="inlineStr">
        <is>
          <t>ORUST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46263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45872</v>
      </c>
      <c r="E94" s="1" t="n">
        <v>46263</v>
      </c>
      <c r="F94" t="inlineStr">
        <is>
          <t>VÄSTRA GÖTALANDS LÄN</t>
        </is>
      </c>
      <c r="G94" t="inlineStr">
        <is>
          <t>ORUST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45139</v>
      </c>
      <c r="E95" s="1" t="n">
        <v>46263</v>
      </c>
      <c r="F95" t="inlineStr">
        <is>
          <t>VÄSTRA GÖTALANDS LÄN</t>
        </is>
      </c>
      <c r="G95" t="inlineStr">
        <is>
          <t>ORUST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46263</v>
      </c>
      <c r="F96" t="inlineStr">
        <is>
          <t>VÄSTRA GÖTALANDS LÄN</t>
        </is>
      </c>
      <c r="G96" t="inlineStr">
        <is>
          <t>ORUST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45130</v>
      </c>
      <c r="E97" s="1" t="n">
        <v>46263</v>
      </c>
      <c r="F97" t="inlineStr">
        <is>
          <t>VÄSTRA GÖTALANDS LÄN</t>
        </is>
      </c>
      <c r="G97" t="inlineStr">
        <is>
          <t>ORUST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46263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45629</v>
      </c>
      <c r="E99" s="1" t="n">
        <v>46263</v>
      </c>
      <c r="F99" t="inlineStr">
        <is>
          <t>VÄSTRA GÖTALANDS LÄN</t>
        </is>
      </c>
      <c r="G99" t="inlineStr">
        <is>
          <t>ORUST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45014</v>
      </c>
      <c r="E100" s="1" t="n">
        <v>46263</v>
      </c>
      <c r="F100" t="inlineStr">
        <is>
          <t>VÄSTRA GÖTALANDS LÄN</t>
        </is>
      </c>
      <c r="G100" t="inlineStr">
        <is>
          <t>ORUST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45535</v>
      </c>
      <c r="E101" s="1" t="n">
        <v>46263</v>
      </c>
      <c r="F101" t="inlineStr">
        <is>
          <t>VÄSTRA GÖTALANDS LÄN</t>
        </is>
      </c>
      <c r="G101" t="inlineStr">
        <is>
          <t>ORUST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46263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46263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46263</v>
      </c>
      <c r="F104" t="inlineStr">
        <is>
          <t>VÄSTRA GÖTALANDS LÄN</t>
        </is>
      </c>
      <c r="G104" t="inlineStr">
        <is>
          <t>ORUST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46263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46263</v>
      </c>
      <c r="F106" t="inlineStr">
        <is>
          <t>VÄSTRA GÖTALANDS LÄN</t>
        </is>
      </c>
      <c r="G106" t="inlineStr">
        <is>
          <t>ORUST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44919</v>
      </c>
      <c r="E107" s="1" t="n">
        <v>46263</v>
      </c>
      <c r="F107" t="inlineStr">
        <is>
          <t>VÄSTRA GÖTALANDS LÄN</t>
        </is>
      </c>
      <c r="G107" t="inlineStr">
        <is>
          <t>ORUST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46263</v>
      </c>
      <c r="F108" t="inlineStr">
        <is>
          <t>VÄSTRA GÖTALANDS LÄN</t>
        </is>
      </c>
      <c r="G108" t="inlineStr">
        <is>
          <t>ORUST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46065</v>
      </c>
      <c r="E109" s="1" t="n">
        <v>46263</v>
      </c>
      <c r="F109" t="inlineStr">
        <is>
          <t>VÄSTRA GÖTALANDS LÄN</t>
        </is>
      </c>
      <c r="G109" t="inlineStr">
        <is>
          <t>ORUST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46263</v>
      </c>
      <c r="F110" t="inlineStr">
        <is>
          <t>VÄSTRA GÖTALANDS LÄN</t>
        </is>
      </c>
      <c r="G110" t="inlineStr">
        <is>
          <t>ORUST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46263</v>
      </c>
      <c r="F111" t="inlineStr">
        <is>
          <t>VÄSTRA GÖTALANDS LÄN</t>
        </is>
      </c>
      <c r="G111" t="inlineStr">
        <is>
          <t>ORUST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46263</v>
      </c>
      <c r="F112" t="inlineStr">
        <is>
          <t>VÄSTRA GÖTALANDS LÄN</t>
        </is>
      </c>
      <c r="G112" t="inlineStr">
        <is>
          <t>ORUST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45511</v>
      </c>
      <c r="E113" s="1" t="n">
        <v>46263</v>
      </c>
      <c r="F113" t="inlineStr">
        <is>
          <t>VÄSTRA GÖTALANDS LÄN</t>
        </is>
      </c>
      <c r="G113" t="inlineStr">
        <is>
          <t>ORUST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46263</v>
      </c>
      <c r="F114" t="inlineStr">
        <is>
          <t>VÄSTRA GÖTALANDS LÄN</t>
        </is>
      </c>
      <c r="G114" t="inlineStr">
        <is>
          <t>ORUST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46075</v>
      </c>
      <c r="E115" s="1" t="n">
        <v>46263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46263</v>
      </c>
      <c r="F116" t="inlineStr">
        <is>
          <t>VÄSTRA GÖTALANDS LÄN</t>
        </is>
      </c>
      <c r="G116" t="inlineStr">
        <is>
          <t>ORUST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46263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46263</v>
      </c>
      <c r="F118" t="inlineStr">
        <is>
          <t>VÄSTRA GÖTALANDS LÄN</t>
        </is>
      </c>
      <c r="G118" t="inlineStr">
        <is>
          <t>ORUST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46263</v>
      </c>
      <c r="F119" t="inlineStr">
        <is>
          <t>VÄSTRA GÖTALANDS LÄN</t>
        </is>
      </c>
      <c r="G119" t="inlineStr">
        <is>
          <t>ORUST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46263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46263</v>
      </c>
      <c r="F121" t="inlineStr">
        <is>
          <t>VÄSTRA GÖTALANDS LÄN</t>
        </is>
      </c>
      <c r="G121" t="inlineStr">
        <is>
          <t>ORUST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46263</v>
      </c>
      <c r="F122" t="inlineStr">
        <is>
          <t>VÄSTRA GÖTALANDS LÄN</t>
        </is>
      </c>
      <c r="G122" t="inlineStr">
        <is>
          <t>ORUST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44791</v>
      </c>
      <c r="E123" s="1" t="n">
        <v>46263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46263</v>
      </c>
      <c r="F124" t="inlineStr">
        <is>
          <t>VÄSTRA GÖTALANDS LÄN</t>
        </is>
      </c>
      <c r="G124" t="inlineStr">
        <is>
          <t>ORUST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46263</v>
      </c>
      <c r="F125" t="inlineStr">
        <is>
          <t>VÄSTRA GÖTALANDS LÄN</t>
        </is>
      </c>
      <c r="G125" t="inlineStr">
        <is>
          <t>ORUST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46263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46263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46263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46263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46263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46263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46263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46263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46263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46263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46263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46263</v>
      </c>
      <c r="F137" t="inlineStr">
        <is>
          <t>VÄSTRA GÖTALANDS LÄN</t>
        </is>
      </c>
      <c r="G137" t="inlineStr">
        <is>
          <t>ORUST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46263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45181</v>
      </c>
      <c r="E139" s="1" t="n">
        <v>46263</v>
      </c>
      <c r="F139" t="inlineStr">
        <is>
          <t>VÄSTRA GÖTALANDS LÄN</t>
        </is>
      </c>
      <c r="G139" t="inlineStr">
        <is>
          <t>ORUST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45847</v>
      </c>
      <c r="E140" s="1" t="n">
        <v>46263</v>
      </c>
      <c r="F140" t="inlineStr">
        <is>
          <t>VÄSTRA GÖTALANDS LÄN</t>
        </is>
      </c>
      <c r="G140" t="inlineStr">
        <is>
          <t>ORUST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46263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46263</v>
      </c>
      <c r="F142" t="inlineStr">
        <is>
          <t>VÄSTRA GÖTALANDS LÄN</t>
        </is>
      </c>
      <c r="G142" t="inlineStr">
        <is>
          <t>ORUST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46263</v>
      </c>
      <c r="F143" t="inlineStr">
        <is>
          <t>VÄSTRA GÖTALANDS LÄN</t>
        </is>
      </c>
      <c r="G143" t="inlineStr">
        <is>
          <t>ORUST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44453</v>
      </c>
      <c r="E144" s="1" t="n">
        <v>46263</v>
      </c>
      <c r="F144" t="inlineStr">
        <is>
          <t>VÄSTRA GÖTALANDS LÄN</t>
        </is>
      </c>
      <c r="G144" t="inlineStr">
        <is>
          <t>ORUST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46263</v>
      </c>
      <c r="F145" t="inlineStr">
        <is>
          <t>VÄSTRA GÖTALANDS LÄN</t>
        </is>
      </c>
      <c r="G145" t="inlineStr">
        <is>
          <t>ORUST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46263</v>
      </c>
      <c r="F146" t="inlineStr">
        <is>
          <t>VÄSTRA GÖTALANDS LÄN</t>
        </is>
      </c>
      <c r="G146" t="inlineStr">
        <is>
          <t>ORUST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46263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46263</v>
      </c>
      <c r="F148" t="inlineStr">
        <is>
          <t>VÄSTRA GÖTALANDS LÄN</t>
        </is>
      </c>
      <c r="G148" t="inlineStr">
        <is>
          <t>ORUST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46263</v>
      </c>
      <c r="F149" t="inlineStr">
        <is>
          <t>VÄSTRA GÖTALANDS LÄN</t>
        </is>
      </c>
      <c r="G149" t="inlineStr">
        <is>
          <t>ORUST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45339</v>
      </c>
      <c r="E150" s="1" t="n">
        <v>46263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46263</v>
      </c>
      <c r="F151" t="inlineStr">
        <is>
          <t>VÄSTRA GÖTALANDS LÄN</t>
        </is>
      </c>
      <c r="G151" t="inlineStr">
        <is>
          <t>ORUST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46263</v>
      </c>
      <c r="F152" t="inlineStr">
        <is>
          <t>VÄSTRA GÖTALANDS LÄN</t>
        </is>
      </c>
      <c r="G152" t="inlineStr">
        <is>
          <t>ORUST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46263</v>
      </c>
      <c r="F153" t="inlineStr">
        <is>
          <t>VÄSTRA GÖTALANDS LÄN</t>
        </is>
      </c>
      <c r="G153" t="inlineStr">
        <is>
          <t>ORUST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46263</v>
      </c>
      <c r="F154" t="inlineStr">
        <is>
          <t>VÄSTRA GÖTALANDS LÄN</t>
        </is>
      </c>
      <c r="G154" t="inlineStr">
        <is>
          <t>ORUST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45396</v>
      </c>
      <c r="E155" s="1" t="n">
        <v>46263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46263</v>
      </c>
      <c r="F156" t="inlineStr">
        <is>
          <t>VÄSTRA GÖTALANDS LÄN</t>
        </is>
      </c>
      <c r="G156" t="inlineStr">
        <is>
          <t>ORUST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46263</v>
      </c>
      <c r="F157" t="inlineStr">
        <is>
          <t>VÄSTRA GÖTALANDS LÄN</t>
        </is>
      </c>
      <c r="G157" t="inlineStr">
        <is>
          <t>ORUST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46263</v>
      </c>
      <c r="F158" t="inlineStr">
        <is>
          <t>VÄSTRA GÖTALANDS LÄN</t>
        </is>
      </c>
      <c r="G158" t="inlineStr">
        <is>
          <t>ORUST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46263</v>
      </c>
      <c r="F159" t="inlineStr">
        <is>
          <t>VÄSTRA GÖTALANDS LÄN</t>
        </is>
      </c>
      <c r="G159" t="inlineStr">
        <is>
          <t>ORUST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46263</v>
      </c>
      <c r="F160" t="inlineStr">
        <is>
          <t>VÄSTRA GÖTALANDS LÄN</t>
        </is>
      </c>
      <c r="G160" t="inlineStr">
        <is>
          <t>ORUST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46263</v>
      </c>
      <c r="F161" t="inlineStr">
        <is>
          <t>VÄSTRA GÖTALANDS LÄN</t>
        </is>
      </c>
      <c r="G161" t="inlineStr">
        <is>
          <t>ORUST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46213</v>
      </c>
      <c r="E162" s="1" t="n">
        <v>46263</v>
      </c>
      <c r="F162" t="inlineStr">
        <is>
          <t>VÄSTRA GÖTALANDS LÄN</t>
        </is>
      </c>
      <c r="G162" t="inlineStr">
        <is>
          <t>ORUST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46263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2026-08-29T01:53:19Z</dcterms:created>
  <dcterms:modified xmlns:dcterms="http://purl.org/dc/terms/" xmlns:xsi="http://www.w3.org/2001/XMLSchema-instance" xsi:type="dcterms:W3CDTF">2026-08-29T01:53:19Z</dcterms:modified>
</cp:coreProperties>
</file>