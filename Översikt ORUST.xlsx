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46090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46090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46090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46090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46090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46090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46090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46090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46090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46090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46090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46090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46090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46090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46090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46090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46090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46090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46090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46090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46090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46090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46090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46090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46090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46090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46090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46090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46090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46090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46090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46090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46090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46090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46090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46090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46090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46090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46090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46090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46090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46090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46090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46090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46090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46090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46090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46090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46090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46090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46090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46090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24321-2025</t>
        </is>
      </c>
      <c r="B54" s="1" t="n">
        <v>45797</v>
      </c>
      <c r="C54" s="1" t="n">
        <v>46090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34046-2024</t>
        </is>
      </c>
      <c r="B55" s="1" t="n">
        <v>45523.60449074074</v>
      </c>
      <c r="C55" s="1" t="n">
        <v>46090</v>
      </c>
      <c r="D55" t="inlineStr">
        <is>
          <t>VÄSTRA GÖTALANDS LÄN</t>
        </is>
      </c>
      <c r="E55" t="inlineStr">
        <is>
          <t>ORUST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46090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46090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39219-2025</t>
        </is>
      </c>
      <c r="B58" s="1" t="n">
        <v>45888</v>
      </c>
      <c r="C58" s="1" t="n">
        <v>46090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46090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40338-2025</t>
        </is>
      </c>
      <c r="B60" s="1" t="n">
        <v>45895</v>
      </c>
      <c r="C60" s="1" t="n">
        <v>46090</v>
      </c>
      <c r="D60" t="inlineStr">
        <is>
          <t>VÄSTRA GÖTALANDS LÄN</t>
        </is>
      </c>
      <c r="E60" t="inlineStr">
        <is>
          <t>ORUST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40328-2025</t>
        </is>
      </c>
      <c r="B61" s="1" t="n">
        <v>45895</v>
      </c>
      <c r="C61" s="1" t="n">
        <v>46090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40442-2025</t>
        </is>
      </c>
      <c r="B62" s="1" t="n">
        <v>45895</v>
      </c>
      <c r="C62" s="1" t="n">
        <v>46090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46090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46090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40681-2025</t>
        </is>
      </c>
      <c r="B65" s="1" t="n">
        <v>45896.85623842593</v>
      </c>
      <c r="C65" s="1" t="n">
        <v>46090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46090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46090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8457-2026</t>
        </is>
      </c>
      <c r="B68" s="1" t="n">
        <v>46065.42722222222</v>
      </c>
      <c r="C68" s="1" t="n">
        <v>46090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46090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46090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46090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46090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46090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27277-2025</t>
        </is>
      </c>
      <c r="B74" s="1" t="n">
        <v>45812.52674768519</v>
      </c>
      <c r="C74" s="1" t="n">
        <v>46090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41688-2025</t>
        </is>
      </c>
      <c r="B75" s="1" t="n">
        <v>45902.39888888889</v>
      </c>
      <c r="C75" s="1" t="n">
        <v>46090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27555-2025</t>
        </is>
      </c>
      <c r="B76" s="1" t="n">
        <v>45813.47424768518</v>
      </c>
      <c r="C76" s="1" t="n">
        <v>46090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45905.45289351852</v>
      </c>
      <c r="C77" s="1" t="n">
        <v>46090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46090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54279-2024</t>
        </is>
      </c>
      <c r="B79" s="1" t="n">
        <v>45616.855</v>
      </c>
      <c r="C79" s="1" t="n">
        <v>46090</v>
      </c>
      <c r="D79" t="inlineStr">
        <is>
          <t>VÄSTRA GÖTALANDS LÄN</t>
        </is>
      </c>
      <c r="E79" t="inlineStr">
        <is>
          <t>ORUST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71890-2021</t>
        </is>
      </c>
      <c r="B80" s="1" t="n">
        <v>44543.78116898148</v>
      </c>
      <c r="C80" s="1" t="n">
        <v>46090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6957-2024</t>
        </is>
      </c>
      <c r="B81" s="1" t="n">
        <v>45343.45112268518</v>
      </c>
      <c r="C81" s="1" t="n">
        <v>46090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46090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40270-2024</t>
        </is>
      </c>
      <c r="B83" s="1" t="n">
        <v>45554.64315972223</v>
      </c>
      <c r="C83" s="1" t="n">
        <v>46090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40270-2024 karta knärot.png", "A 40270-2024")</f>
        <v/>
      </c>
      <c r="V83">
        <f>HYPERLINK("https://klasma.github.io/Logging_1421/klagomål/A 40270-2024 FSC-klagomål.docx", "A 40270-2024")</f>
        <v/>
      </c>
      <c r="W83">
        <f>HYPERLINK("https://klasma.github.io/Logging_1421/klagomålsmail/A 40270-2024 FSC-klagomål mail.docx", "A 40270-2024")</f>
        <v/>
      </c>
      <c r="X83">
        <f>HYPERLINK("https://klasma.github.io/Logging_1421/tillsyn/A 40270-2024 tillsynsbegäran.docx", "A 40270-2024")</f>
        <v/>
      </c>
      <c r="Y83">
        <f>HYPERLINK("https://klasma.github.io/Logging_1421/tillsynsmail/A 40270-2024 tillsynsbegäran mail.docx", "A 40270-2024")</f>
        <v/>
      </c>
    </row>
    <row r="84" ht="15" customHeight="1">
      <c r="A84" t="inlineStr">
        <is>
          <t>A 13378-2023</t>
        </is>
      </c>
      <c r="B84" s="1" t="n">
        <v>45005.50077546296</v>
      </c>
      <c r="C84" s="1" t="n">
        <v>46090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31617-2025</t>
        </is>
      </c>
      <c r="B85" s="1" t="n">
        <v>45833</v>
      </c>
      <c r="C85" s="1" t="n">
        <v>46090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25925-2024</t>
        </is>
      </c>
      <c r="B86" s="1" t="n">
        <v>45467.6122337963</v>
      </c>
      <c r="C86" s="1" t="n">
        <v>46090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46090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46090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46090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46090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46090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46090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46090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46090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46090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46090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46121-2025</t>
        </is>
      </c>
      <c r="B97" s="1" t="n">
        <v>45924</v>
      </c>
      <c r="C97" s="1" t="n">
        <v>46090</v>
      </c>
      <c r="D97" t="inlineStr">
        <is>
          <t>VÄSTRA GÖTALANDS LÄN</t>
        </is>
      </c>
      <c r="E97" t="inlineStr">
        <is>
          <t>ORUST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48419-2025</t>
        </is>
      </c>
      <c r="B98" s="1" t="n">
        <v>45934.58502314815</v>
      </c>
      <c r="C98" s="1" t="n">
        <v>46090</v>
      </c>
      <c r="D98" t="inlineStr">
        <is>
          <t>VÄSTRA GÖTALANDS LÄN</t>
        </is>
      </c>
      <c r="E98" t="inlineStr">
        <is>
          <t>ORUST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46090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49072-2025</t>
        </is>
      </c>
      <c r="B100" s="1" t="n">
        <v>45937.65501157408</v>
      </c>
      <c r="C100" s="1" t="n">
        <v>46090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46090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49365-2025</t>
        </is>
      </c>
      <c r="B102" s="1" t="n">
        <v>45938.62341435185</v>
      </c>
      <c r="C102" s="1" t="n">
        <v>46090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9194-2026</t>
        </is>
      </c>
      <c r="B103" s="1" t="n">
        <v>46070.39208333333</v>
      </c>
      <c r="C103" s="1" t="n">
        <v>46090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46090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46090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46090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46090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5926-2024</t>
        </is>
      </c>
      <c r="B108" s="1" t="n">
        <v>45336</v>
      </c>
      <c r="C108" s="1" t="n">
        <v>46090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46090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9344-2026</t>
        </is>
      </c>
      <c r="B110" s="1" t="n">
        <v>46070.68266203703</v>
      </c>
      <c r="C110" s="1" t="n">
        <v>46090</v>
      </c>
      <c r="D110" t="inlineStr">
        <is>
          <t>VÄSTRA GÖTALANDS LÄN</t>
        </is>
      </c>
      <c r="E110" t="inlineStr">
        <is>
          <t>ORUST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50532-2024</t>
        </is>
      </c>
      <c r="B111" s="1" t="n">
        <v>45601.56552083333</v>
      </c>
      <c r="C111" s="1" t="n">
        <v>46090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1288-2025</t>
        </is>
      </c>
      <c r="B112" s="1" t="n">
        <v>45667.50971064815</v>
      </c>
      <c r="C112" s="1" t="n">
        <v>46090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46090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61302-2024</t>
        </is>
      </c>
      <c r="B114" s="1" t="n">
        <v>45645.90855324074</v>
      </c>
      <c r="C114" s="1" t="n">
        <v>46090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46090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5714-2024</t>
        </is>
      </c>
      <c r="B116" s="1" t="n">
        <v>45334.87804398148</v>
      </c>
      <c r="C116" s="1" t="n">
        <v>46090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34380-2022</t>
        </is>
      </c>
      <c r="B117" s="1" t="n">
        <v>44792</v>
      </c>
      <c r="C117" s="1" t="n">
        <v>46090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10118-2026</t>
        </is>
      </c>
      <c r="B118" s="1" t="n">
        <v>46075.66628472223</v>
      </c>
      <c r="C118" s="1" t="n">
        <v>46090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46090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13377-2023</t>
        </is>
      </c>
      <c r="B120" s="1" t="n">
        <v>45005.49668981481</v>
      </c>
      <c r="C120" s="1" t="n">
        <v>46090</v>
      </c>
      <c r="D120" t="inlineStr">
        <is>
          <t>VÄSTRA GÖTALANDS LÄN</t>
        </is>
      </c>
      <c r="E120" t="inlineStr">
        <is>
          <t>ORUST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46090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59915-2024</t>
        </is>
      </c>
      <c r="B122" s="1" t="n">
        <v>45641.74975694445</v>
      </c>
      <c r="C122" s="1" t="n">
        <v>46090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5152-2025</t>
        </is>
      </c>
      <c r="B123" s="1" t="n">
        <v>45691.6000462963</v>
      </c>
      <c r="C123" s="1" t="n">
        <v>46090</v>
      </c>
      <c r="D123" t="inlineStr">
        <is>
          <t>VÄSTRA GÖTALANDS LÄN</t>
        </is>
      </c>
      <c r="E123" t="inlineStr">
        <is>
          <t>ORUST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2435-2026</t>
        </is>
      </c>
      <c r="B124" s="1" t="n">
        <v>46036.90065972223</v>
      </c>
      <c r="C124" s="1" t="n">
        <v>46090</v>
      </c>
      <c r="D124" t="inlineStr">
        <is>
          <t>VÄSTRA GÖTALANDS LÄN</t>
        </is>
      </c>
      <c r="E124" t="inlineStr">
        <is>
          <t>ORUST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2436-2026</t>
        </is>
      </c>
      <c r="B125" s="1" t="n">
        <v>46036.90234953703</v>
      </c>
      <c r="C125" s="1" t="n">
        <v>46090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58853-2025</t>
        </is>
      </c>
      <c r="B126" s="1" t="n">
        <v>45987.40476851852</v>
      </c>
      <c r="C126" s="1" t="n">
        <v>46090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58852-2025</t>
        </is>
      </c>
      <c r="B127" s="1" t="n">
        <v>45987.40355324074</v>
      </c>
      <c r="C127" s="1" t="n">
        <v>46090</v>
      </c>
      <c r="D127" t="inlineStr">
        <is>
          <t>VÄSTRA GÖTALANDS LÄN</t>
        </is>
      </c>
      <c r="E127" t="inlineStr">
        <is>
          <t>ORUST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46090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46090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45992.66811342593</v>
      </c>
      <c r="C130" s="1" t="n">
        <v>46090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20131-2025</t>
        </is>
      </c>
      <c r="B131" s="1" t="n">
        <v>45772.50918981482</v>
      </c>
      <c r="C131" s="1" t="n">
        <v>46090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5454-2025</t>
        </is>
      </c>
      <c r="B132" s="1" t="n">
        <v>45692.98011574074</v>
      </c>
      <c r="C132" s="1" t="n">
        <v>46090</v>
      </c>
      <c r="D132" t="inlineStr">
        <is>
          <t>VÄSTRA GÖTALANDS LÄN</t>
        </is>
      </c>
      <c r="E132" t="inlineStr">
        <is>
          <t>ORUST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46000.94983796297</v>
      </c>
      <c r="C133" s="1" t="n">
        <v>46090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61320-2025</t>
        </is>
      </c>
      <c r="B134" s="1" t="n">
        <v>46000.95591435185</v>
      </c>
      <c r="C134" s="1" t="n">
        <v>46090</v>
      </c>
      <c r="D134" t="inlineStr">
        <is>
          <t>VÄSTRA GÖTALANDS LÄN</t>
        </is>
      </c>
      <c r="E134" t="inlineStr">
        <is>
          <t>ORUST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2213-2025</t>
        </is>
      </c>
      <c r="B135" s="1" t="n">
        <v>45673.4359837963</v>
      </c>
      <c r="C135" s="1" t="n">
        <v>46090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40722-2024</t>
        </is>
      </c>
      <c r="B136" s="1" t="n">
        <v>45558.44460648148</v>
      </c>
      <c r="C136" s="1" t="n">
        <v>46090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46090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46090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4114-2026</t>
        </is>
      </c>
      <c r="B139" s="1" t="n">
        <v>46044.60348379629</v>
      </c>
      <c r="C139" s="1" t="n">
        <v>46090</v>
      </c>
      <c r="D139" t="inlineStr">
        <is>
          <t>VÄSTRA GÖTALANDS LÄN</t>
        </is>
      </c>
      <c r="E139" t="inlineStr">
        <is>
          <t>ORUST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6739-2026</t>
        </is>
      </c>
      <c r="B140" s="1" t="n">
        <v>46056.69936342593</v>
      </c>
      <c r="C140" s="1" t="n">
        <v>46090</v>
      </c>
      <c r="D140" t="inlineStr">
        <is>
          <t>VÄSTRA GÖTALANDS LÄN</t>
        </is>
      </c>
      <c r="E140" t="inlineStr">
        <is>
          <t>ORUST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12087-2026</t>
        </is>
      </c>
      <c r="B141" s="1" t="n">
        <v>46086.45980324074</v>
      </c>
      <c r="C141" s="1" t="n">
        <v>46090</v>
      </c>
      <c r="D141" t="inlineStr">
        <is>
          <t>VÄSTRA GÖTALANDS LÄN</t>
        </is>
      </c>
      <c r="E141" t="inlineStr">
        <is>
          <t>ORUST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49822-2022</t>
        </is>
      </c>
      <c r="B142" s="1" t="n">
        <v>44862</v>
      </c>
      <c r="C142" s="1" t="n">
        <v>46090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38322-2023</t>
        </is>
      </c>
      <c r="B143" s="1" t="n">
        <v>45161.73658564815</v>
      </c>
      <c r="C143" s="1" t="n">
        <v>46090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46090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46090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46090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20819-2023</t>
        </is>
      </c>
      <c r="B147" s="1" t="n">
        <v>45058</v>
      </c>
      <c r="C147" s="1" t="n">
        <v>46090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11356-2025</t>
        </is>
      </c>
      <c r="B148" s="1" t="n">
        <v>45726.52880787037</v>
      </c>
      <c r="C148" s="1" t="n">
        <v>46090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34354-2023</t>
        </is>
      </c>
      <c r="B149" s="1" t="n">
        <v>45139</v>
      </c>
      <c r="C149" s="1" t="n">
        <v>46090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37000-2023</t>
        </is>
      </c>
      <c r="B150" s="1" t="n">
        <v>45155.26925925926</v>
      </c>
      <c r="C150" s="1" t="n">
        <v>46090</v>
      </c>
      <c r="D150" t="inlineStr">
        <is>
          <t>VÄSTRA GÖTALANDS LÄN</t>
        </is>
      </c>
      <c r="E150" t="inlineStr">
        <is>
          <t>ORUST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46090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45088-2021</t>
        </is>
      </c>
      <c r="B152" s="1" t="n">
        <v>44439.391875</v>
      </c>
      <c r="C152" s="1" t="n">
        <v>46090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46090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23682-2024</t>
        </is>
      </c>
      <c r="B154" s="1" t="n">
        <v>45454.62754629629</v>
      </c>
      <c r="C154" s="1" t="n">
        <v>46090</v>
      </c>
      <c r="D154" t="inlineStr">
        <is>
          <t>VÄSTRA GÖTALANDS LÄN</t>
        </is>
      </c>
      <c r="E154" t="inlineStr">
        <is>
          <t>ORUST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39206-2024</t>
        </is>
      </c>
      <c r="B155" s="1" t="n">
        <v>45548.81200231481</v>
      </c>
      <c r="C155" s="1" t="n">
        <v>46090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46090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46090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34056-2024</t>
        </is>
      </c>
      <c r="B158" s="1" t="n">
        <v>45523.6125</v>
      </c>
      <c r="C158" s="1" t="n">
        <v>46090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3750-2022</t>
        </is>
      </c>
      <c r="B159" s="1" t="n">
        <v>44586.71618055556</v>
      </c>
      <c r="C159" s="1" t="n">
        <v>46090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37522-2024</t>
        </is>
      </c>
      <c r="B160" s="1" t="n">
        <v>45541</v>
      </c>
      <c r="C160" s="1" t="n">
        <v>46090</v>
      </c>
      <c r="D160" t="inlineStr">
        <is>
          <t>VÄSTRA GÖTALANDS LÄN</t>
        </is>
      </c>
      <c r="E160" t="inlineStr">
        <is>
          <t>ORUST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23046-2024</t>
        </is>
      </c>
      <c r="B161" s="1" t="n">
        <v>45450.4240625</v>
      </c>
      <c r="C161" s="1" t="n">
        <v>46090</v>
      </c>
      <c r="D161" t="inlineStr">
        <is>
          <t>VÄSTRA GÖTALANDS LÄN</t>
        </is>
      </c>
      <c r="E161" t="inlineStr">
        <is>
          <t>ORUST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44233-2023</t>
        </is>
      </c>
      <c r="B162" s="1" t="n">
        <v>45183</v>
      </c>
      <c r="C162" s="1" t="n">
        <v>46090</v>
      </c>
      <c r="D162" t="inlineStr">
        <is>
          <t>VÄSTRA GÖTALANDS LÄN</t>
        </is>
      </c>
      <c r="E162" t="inlineStr">
        <is>
          <t>ORUST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44233-2023 karta knärot.png", "A 44233-2023")</f>
        <v/>
      </c>
      <c r="V162">
        <f>HYPERLINK("https://klasma.github.io/Logging_1421/klagomål/A 44233-2023 FSC-klagomål.docx", "A 44233-2023")</f>
        <v/>
      </c>
      <c r="W162">
        <f>HYPERLINK("https://klasma.github.io/Logging_1421/klagomålsmail/A 44233-2023 FSC-klagomål mail.docx", "A 44233-2023")</f>
        <v/>
      </c>
      <c r="X162">
        <f>HYPERLINK("https://klasma.github.io/Logging_1421/tillsyn/A 44233-2023 tillsynsbegäran.docx", "A 44233-2023")</f>
        <v/>
      </c>
      <c r="Y162">
        <f>HYPERLINK("https://klasma.github.io/Logging_1421/tillsynsmail/A 44233-2023 tillsynsbegäran mail.docx", "A 44233-2023")</f>
        <v/>
      </c>
    </row>
    <row r="163" ht="15" customHeight="1">
      <c r="A163" t="inlineStr">
        <is>
          <t>A 14547-2022</t>
        </is>
      </c>
      <c r="B163" s="1" t="n">
        <v>44655</v>
      </c>
      <c r="C163" s="1" t="n">
        <v>46090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18791-2023</t>
        </is>
      </c>
      <c r="B164" s="1" t="n">
        <v>45044</v>
      </c>
      <c r="C164" s="1" t="n">
        <v>46090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28109-2024</t>
        </is>
      </c>
      <c r="B165" s="1" t="n">
        <v>45476.63284722222</v>
      </c>
      <c r="C165" s="1" t="n">
        <v>46090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63626-2023</t>
        </is>
      </c>
      <c r="B166" s="1" t="n">
        <v>45275</v>
      </c>
      <c r="C166" s="1" t="n">
        <v>46090</v>
      </c>
      <c r="D166" t="inlineStr">
        <is>
          <t>VÄSTRA GÖTALANDS LÄN</t>
        </is>
      </c>
      <c r="E166" t="inlineStr">
        <is>
          <t>ORUST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32175-2024</t>
        </is>
      </c>
      <c r="B167" s="1" t="n">
        <v>45511.61238425926</v>
      </c>
      <c r="C167" s="1" t="n">
        <v>46090</v>
      </c>
      <c r="D167" t="inlineStr">
        <is>
          <t>VÄSTRA GÖTALANDS LÄN</t>
        </is>
      </c>
      <c r="E167" t="inlineStr">
        <is>
          <t>ORUST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34155-2024</t>
        </is>
      </c>
      <c r="B168" s="1" t="n">
        <v>45524.3860300926</v>
      </c>
      <c r="C168" s="1" t="n">
        <v>46090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20898-2021</t>
        </is>
      </c>
      <c r="B169" s="1" t="n">
        <v>44319.41962962963</v>
      </c>
      <c r="C169" s="1" t="n">
        <v>46090</v>
      </c>
      <c r="D169" t="inlineStr">
        <is>
          <t>VÄSTRA GÖTALANDS LÄN</t>
        </is>
      </c>
      <c r="E169" t="inlineStr">
        <is>
          <t>ORUST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46090</v>
      </c>
      <c r="D170" t="inlineStr">
        <is>
          <t>VÄSTRA GÖTALANDS LÄN</t>
        </is>
      </c>
      <c r="E170" t="inlineStr">
        <is>
          <t>ORUST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62086-2022</t>
        </is>
      </c>
      <c r="B171" s="1" t="n">
        <v>44919.46138888889</v>
      </c>
      <c r="C171" s="1" t="n">
        <v>46090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49134-2021</t>
        </is>
      </c>
      <c r="B172" s="1" t="n">
        <v>44453</v>
      </c>
      <c r="C172" s="1" t="n">
        <v>46090</v>
      </c>
      <c r="D172" t="inlineStr">
        <is>
          <t>VÄSTRA GÖTALANDS LÄN</t>
        </is>
      </c>
      <c r="E172" t="inlineStr">
        <is>
          <t>ORUST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57878-2022</t>
        </is>
      </c>
      <c r="B173" s="1" t="n">
        <v>44899.875625</v>
      </c>
      <c r="C173" s="1" t="n">
        <v>46090</v>
      </c>
      <c r="D173" t="inlineStr">
        <is>
          <t>VÄSTRA GÖTALANDS LÄN</t>
        </is>
      </c>
      <c r="E173" t="inlineStr">
        <is>
          <t>ORUST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14802-2023</t>
        </is>
      </c>
      <c r="B174" s="1" t="n">
        <v>45014</v>
      </c>
      <c r="C174" s="1" t="n">
        <v>46090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2632-2024</t>
        </is>
      </c>
      <c r="B175" s="1" t="n">
        <v>45313.97175925926</v>
      </c>
      <c r="C175" s="1" t="n">
        <v>46090</v>
      </c>
      <c r="D175" t="inlineStr">
        <is>
          <t>VÄSTRA GÖTALANDS LÄN</t>
        </is>
      </c>
      <c r="E175" t="inlineStr">
        <is>
          <t>ORUST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1663-2024</t>
        </is>
      </c>
      <c r="B176" s="1" t="n">
        <v>45306</v>
      </c>
      <c r="C176" s="1" t="n">
        <v>46090</v>
      </c>
      <c r="D176" t="inlineStr">
        <is>
          <t>VÄSTRA GÖTALANDS LÄN</t>
        </is>
      </c>
      <c r="E176" t="inlineStr">
        <is>
          <t>ORUST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33454-2023</t>
        </is>
      </c>
      <c r="B177" s="1" t="n">
        <v>45130</v>
      </c>
      <c r="C177" s="1" t="n">
        <v>46090</v>
      </c>
      <c r="D177" t="inlineStr">
        <is>
          <t>VÄSTRA GÖTALANDS LÄN</t>
        </is>
      </c>
      <c r="E177" t="inlineStr">
        <is>
          <t>ORUST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13243-2023</t>
        </is>
      </c>
      <c r="B178" s="1" t="n">
        <v>45002</v>
      </c>
      <c r="C178" s="1" t="n">
        <v>46090</v>
      </c>
      <c r="D178" t="inlineStr">
        <is>
          <t>VÄSTRA GÖTALANDS LÄN</t>
        </is>
      </c>
      <c r="E178" t="inlineStr">
        <is>
          <t>ORUST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22959-2025</t>
        </is>
      </c>
      <c r="B179" s="1" t="n">
        <v>45790</v>
      </c>
      <c r="C179" s="1" t="n">
        <v>46090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23258-2025</t>
        </is>
      </c>
      <c r="B180" s="1" t="n">
        <v>45791.53902777778</v>
      </c>
      <c r="C180" s="1" t="n">
        <v>46090</v>
      </c>
      <c r="D180" t="inlineStr">
        <is>
          <t>VÄSTRA GÖTALANDS LÄN</t>
        </is>
      </c>
      <c r="E180" t="inlineStr">
        <is>
          <t>ORUST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23254-2025</t>
        </is>
      </c>
      <c r="B181" s="1" t="n">
        <v>45791.5340162037</v>
      </c>
      <c r="C181" s="1" t="n">
        <v>46090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14760-2025</t>
        </is>
      </c>
      <c r="B182" s="1" t="n">
        <v>45742</v>
      </c>
      <c r="C182" s="1" t="n">
        <v>46090</v>
      </c>
      <c r="D182" t="inlineStr">
        <is>
          <t>VÄSTRA GÖTALANDS LÄN</t>
        </is>
      </c>
      <c r="E182" t="inlineStr">
        <is>
          <t>ORUST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9937-2025</t>
        </is>
      </c>
      <c r="B183" s="1" t="n">
        <v>45718.64129629629</v>
      </c>
      <c r="C183" s="1" t="n">
        <v>46090</v>
      </c>
      <c r="D183" t="inlineStr">
        <is>
          <t>VÄSTRA GÖTALANDS LÄN</t>
        </is>
      </c>
      <c r="E183" t="inlineStr">
        <is>
          <t>ORUST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23259-2025</t>
        </is>
      </c>
      <c r="B184" s="1" t="n">
        <v>45791.53978009259</v>
      </c>
      <c r="C184" s="1" t="n">
        <v>46090</v>
      </c>
      <c r="D184" t="inlineStr">
        <is>
          <t>VÄSTRA GÖTALANDS LÄN</t>
        </is>
      </c>
      <c r="E184" t="inlineStr">
        <is>
          <t>ORUST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13521-2025</t>
        </is>
      </c>
      <c r="B185" s="1" t="n">
        <v>45736.48755787037</v>
      </c>
      <c r="C185" s="1" t="n">
        <v>46090</v>
      </c>
      <c r="D185" t="inlineStr">
        <is>
          <t>VÄSTRA GÖTALANDS LÄN</t>
        </is>
      </c>
      <c r="E185" t="inlineStr">
        <is>
          <t>ORUST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13536-2025</t>
        </is>
      </c>
      <c r="B186" s="1" t="n">
        <v>45736.51413194444</v>
      </c>
      <c r="C186" s="1" t="n">
        <v>46090</v>
      </c>
      <c r="D186" t="inlineStr">
        <is>
          <t>VÄSTRA GÖTALANDS LÄN</t>
        </is>
      </c>
      <c r="E186" t="inlineStr">
        <is>
          <t>ORUST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2026-03-09T11:18:00Z</dcterms:created>
  <dcterms:modified xmlns:dcterms="http://purl.org/dc/terms/" xmlns:xsi="http://www.w3.org/2001/XMLSchema-instance" xsi:type="dcterms:W3CDTF">2026-03-09T11:18:00Z</dcterms:modified>
</cp:coreProperties>
</file>