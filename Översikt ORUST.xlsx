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46199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46199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46199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46199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46199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46199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46199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46199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46199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13243-2023</t>
        </is>
      </c>
      <c r="B12" s="1" t="n">
        <v>45002</v>
      </c>
      <c r="C12" s="1" t="n">
        <v>46199</v>
      </c>
      <c r="D12" t="inlineStr">
        <is>
          <t>VÄSTRA GÖTALANDS LÄN</t>
        </is>
      </c>
      <c r="E12" t="inlineStr">
        <is>
          <t>ORUST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HYPERLINK("https://klasma.github.io/Logging_1421/artfynd/A 13243-2023 artfynd.xlsx", "A 13243-2023")</f>
        <v/>
      </c>
      <c r="T12">
        <f>HYPERLINK("https://klasma.github.io/Logging_1421/kartor/A 13243-2023 karta.png", "A 13243-2023")</f>
        <v/>
      </c>
      <c r="V12">
        <f>HYPERLINK("https://klasma.github.io/Logging_1421/klagomål/A 13243-2023 FSC-klagomål.docx", "A 13243-2023")</f>
        <v/>
      </c>
      <c r="W12">
        <f>HYPERLINK("https://klasma.github.io/Logging_1421/klagomålsmail/A 13243-2023 FSC-klagomål mail.docx", "A 13243-2023")</f>
        <v/>
      </c>
      <c r="X12">
        <f>HYPERLINK("https://klasma.github.io/Logging_1421/tillsyn/A 13243-2023 tillsynsbegäran.docx", "A 13243-2023")</f>
        <v/>
      </c>
      <c r="Y12">
        <f>HYPERLINK("https://klasma.github.io/Logging_1421/tillsynsmail/A 13243-2023 tillsynsbegäran mail.docx", "A 13243-2023")</f>
        <v/>
      </c>
    </row>
    <row r="13" ht="15" customHeight="1">
      <c r="A13" t="inlineStr">
        <is>
          <t>A 13220-2024</t>
        </is>
      </c>
      <c r="B13" s="1" t="n">
        <v>45386</v>
      </c>
      <c r="C13" s="1" t="n">
        <v>46199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46199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s="1" t="n">
        <v>44931</v>
      </c>
      <c r="C15" s="1" t="n">
        <v>46199</v>
      </c>
      <c r="D15" t="inlineStr">
        <is>
          <t>VÄSTRA GÖTALANDS LÄN</t>
        </is>
      </c>
      <c r="E15" t="inlineStr">
        <is>
          <t>ORUST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HYPERLINK("https://klasma.github.io/Logging_1421/artfynd/A 771-2023 artfynd.xlsx", "A 771-2023")</f>
        <v/>
      </c>
      <c r="T15">
        <f>HYPERLINK("https://klasma.github.io/Logging_1421/kartor/A 771-2023 karta.png", "A 771-2023")</f>
        <v/>
      </c>
      <c r="V15">
        <f>HYPERLINK("https://klasma.github.io/Logging_1421/klagomål/A 771-2023 FSC-klagomål.docx", "A 771-2023")</f>
        <v/>
      </c>
      <c r="W15">
        <f>HYPERLINK("https://klasma.github.io/Logging_1421/klagomålsmail/A 771-2023 FSC-klagomål mail.docx", "A 771-2023")</f>
        <v/>
      </c>
      <c r="X15">
        <f>HYPERLINK("https://klasma.github.io/Logging_1421/tillsyn/A 771-2023 tillsynsbegäran.docx", "A 771-2023")</f>
        <v/>
      </c>
      <c r="Y15">
        <f>HYPERLINK("https://klasma.github.io/Logging_1421/tillsynsmail/A 771-2023 tillsynsbegäran mail.docx", "A 771-2023")</f>
        <v/>
      </c>
      <c r="Z15">
        <f>HYPERLINK("https://klasma.github.io/Logging_1421/fåglar/A 771-2023 prioriterade fågelarter.docx", "A 771-2023")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46199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5634-2025</t>
        </is>
      </c>
      <c r="B17" s="1" t="n">
        <v>45693</v>
      </c>
      <c r="C17" s="1" t="n">
        <v>46199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12722-2026</t>
        </is>
      </c>
      <c r="B18" s="1" t="n">
        <v>46091</v>
      </c>
      <c r="C18" s="1" t="n">
        <v>46199</v>
      </c>
      <c r="D18" t="inlineStr">
        <is>
          <t>VÄSTRA GÖTALANDS LÄN</t>
        </is>
      </c>
      <c r="E18" t="inlineStr">
        <is>
          <t>ORUST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12722-2026 artfynd.xlsx", "A 12722-2026")</f>
        <v/>
      </c>
      <c r="T18">
        <f>HYPERLINK("https://klasma.github.io/Logging_1421/kartor/A 12722-2026 karta.png", "A 12722-2026")</f>
        <v/>
      </c>
      <c r="U18">
        <f>HYPERLINK("https://klasma.github.io/Logging_1421/knärot/A 12722-2026 karta knärot.png", "A 12722-2026")</f>
        <v/>
      </c>
      <c r="V18">
        <f>HYPERLINK("https://klasma.github.io/Logging_1421/klagomål/A 12722-2026 FSC-klagomål.docx", "A 12722-2026")</f>
        <v/>
      </c>
      <c r="W18">
        <f>HYPERLINK("https://klasma.github.io/Logging_1421/klagomålsmail/A 12722-2026 FSC-klagomål mail.docx", "A 12722-2026")</f>
        <v/>
      </c>
      <c r="X18">
        <f>HYPERLINK("https://klasma.github.io/Logging_1421/tillsyn/A 12722-2026 tillsynsbegäran.docx", "A 12722-2026")</f>
        <v/>
      </c>
      <c r="Y18">
        <f>HYPERLINK("https://klasma.github.io/Logging_1421/tillsynsmail/A 12722-2026 tillsynsbegäran mail.docx", "A 12722-2026")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46199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49047-2025</t>
        </is>
      </c>
      <c r="B20" s="1" t="n">
        <v>45937</v>
      </c>
      <c r="C20" s="1" t="n">
        <v>46199</v>
      </c>
      <c r="D20" t="inlineStr">
        <is>
          <t>VÄSTRA GÖTALANDS LÄN</t>
        </is>
      </c>
      <c r="E20" t="inlineStr">
        <is>
          <t>ORUST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HYPERLINK("https://klasma.github.io/Logging_1421/artfynd/A 49047-2025 artfynd.xlsx", "A 49047-2025")</f>
        <v/>
      </c>
      <c r="T20">
        <f>HYPERLINK("https://klasma.github.io/Logging_1421/kartor/A 49047-2025 karta.png", "A 49047-2025")</f>
        <v/>
      </c>
      <c r="V20">
        <f>HYPERLINK("https://klasma.github.io/Logging_1421/klagomål/A 49047-2025 FSC-klagomål.docx", "A 49047-2025")</f>
        <v/>
      </c>
      <c r="W20">
        <f>HYPERLINK("https://klasma.github.io/Logging_1421/klagomålsmail/A 49047-2025 FSC-klagomål mail.docx", "A 49047-2025")</f>
        <v/>
      </c>
      <c r="X20">
        <f>HYPERLINK("https://klasma.github.io/Logging_1421/tillsyn/A 49047-2025 tillsynsbegäran.docx", "A 49047-2025")</f>
        <v/>
      </c>
      <c r="Y20">
        <f>HYPERLINK("https://klasma.github.io/Logging_1421/tillsynsmail/A 49047-2025 tillsynsbegäran mail.docx", "A 49047-2025")</f>
        <v/>
      </c>
    </row>
    <row r="21" ht="15" customHeight="1">
      <c r="A21" t="inlineStr">
        <is>
          <t>A 5617-2024</t>
        </is>
      </c>
      <c r="B21" s="1" t="n">
        <v>45334</v>
      </c>
      <c r="C21" s="1" t="n">
        <v>46199</v>
      </c>
      <c r="D21" t="inlineStr">
        <is>
          <t>VÄSTRA GÖTALANDS LÄN</t>
        </is>
      </c>
      <c r="E21" t="inlineStr">
        <is>
          <t>ORUST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5617-2024 artfynd.xlsx", "A 5617-2024")</f>
        <v/>
      </c>
      <c r="T21">
        <f>HYPERLINK("https://klasma.github.io/Logging_1421/kartor/A 5617-2024 karta.png", "A 5617-2024")</f>
        <v/>
      </c>
      <c r="U21">
        <f>HYPERLINK("https://klasma.github.io/Logging_1421/knärot/A 5617-2024 karta knärot.png", "A 5617-2024")</f>
        <v/>
      </c>
      <c r="V21">
        <f>HYPERLINK("https://klasma.github.io/Logging_1421/klagomål/A 5617-2024 FSC-klagomål.docx", "A 5617-2024")</f>
        <v/>
      </c>
      <c r="W21">
        <f>HYPERLINK("https://klasma.github.io/Logging_1421/klagomålsmail/A 5617-2024 FSC-klagomål mail.docx", "A 5617-2024")</f>
        <v/>
      </c>
      <c r="X21">
        <f>HYPERLINK("https://klasma.github.io/Logging_1421/tillsyn/A 5617-2024 tillsynsbegäran.docx", "A 5617-2024")</f>
        <v/>
      </c>
      <c r="Y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s="1" t="n">
        <v>45183</v>
      </c>
      <c r="C22" s="1" t="n">
        <v>46199</v>
      </c>
      <c r="D22" t="inlineStr">
        <is>
          <t>VÄSTRA GÖTALANDS LÄN</t>
        </is>
      </c>
      <c r="E22" t="inlineStr">
        <is>
          <t>ORUST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44233-2023 artfynd.xlsx", "A 44233-2023")</f>
        <v/>
      </c>
      <c r="T22">
        <f>HYPERLINK("https://klasma.github.io/Logging_1421/kartor/A 44233-2023 karta.png", "A 44233-2023")</f>
        <v/>
      </c>
      <c r="U22">
        <f>HYPERLINK("https://klasma.github.io/Logging_1421/knärot/A 44233-2023 karta knärot.png", "A 44233-2023")</f>
        <v/>
      </c>
      <c r="V22">
        <f>HYPERLINK("https://klasma.github.io/Logging_1421/klagomål/A 44233-2023 FSC-klagomål.docx", "A 44233-2023")</f>
        <v/>
      </c>
      <c r="W22">
        <f>HYPERLINK("https://klasma.github.io/Logging_1421/klagomålsmail/A 44233-2023 FSC-klagomål mail.docx", "A 44233-2023")</f>
        <v/>
      </c>
      <c r="X22">
        <f>HYPERLINK("https://klasma.github.io/Logging_1421/tillsyn/A 44233-2023 tillsynsbegäran.docx", "A 44233-2023")</f>
        <v/>
      </c>
      <c r="Y22">
        <f>HYPERLINK("https://klasma.github.io/Logging_1421/tillsynsmail/A 44233-2023 tillsynsbegäran mail.docx", "A 44233-2023")</f>
        <v/>
      </c>
    </row>
    <row r="23" ht="15" customHeight="1">
      <c r="A23" t="inlineStr">
        <is>
          <t>A 23921-2026</t>
        </is>
      </c>
      <c r="B23" s="1" t="n">
        <v>46167</v>
      </c>
      <c r="C23" s="1" t="n">
        <v>46199</v>
      </c>
      <c r="D23" t="inlineStr">
        <is>
          <t>VÄSTRA GÖTALANDS LÄN</t>
        </is>
      </c>
      <c r="E23" t="inlineStr">
        <is>
          <t>ORUST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HYPERLINK("https://klasma.github.io/Logging_1421/artfynd/A 23921-2026 artfynd.xlsx", "A 23921-2026")</f>
        <v/>
      </c>
      <c r="T23">
        <f>HYPERLINK("https://klasma.github.io/Logging_1421/kartor/A 23921-2026 karta.png", "A 23921-2026")</f>
        <v/>
      </c>
      <c r="V23">
        <f>HYPERLINK("https://klasma.github.io/Logging_1421/klagomål/A 23921-2026 FSC-klagomål.docx", "A 23921-2026")</f>
        <v/>
      </c>
      <c r="W23">
        <f>HYPERLINK("https://klasma.github.io/Logging_1421/klagomålsmail/A 23921-2026 FSC-klagomål mail.docx", "A 23921-2026")</f>
        <v/>
      </c>
      <c r="X23">
        <f>HYPERLINK("https://klasma.github.io/Logging_1421/tillsyn/A 23921-2026 tillsynsbegäran.docx", "A 23921-2026")</f>
        <v/>
      </c>
      <c r="Y23">
        <f>HYPERLINK("https://klasma.github.io/Logging_1421/tillsynsmail/A 23921-2026 tillsynsbegäran mail.docx", "A 23921-2026")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46199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46199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s="1" t="n">
        <v>45554</v>
      </c>
      <c r="C26" s="1" t="n">
        <v>46199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40270-2024 artfynd.xlsx", "A 40270-2024")</f>
        <v/>
      </c>
      <c r="T26">
        <f>HYPERLINK("https://klasma.github.io/Logging_1421/kartor/A 40270-2024 karta.png", "A 40270-2024")</f>
        <v/>
      </c>
      <c r="U26">
        <f>HYPERLINK("https://klasma.github.io/Logging_1421/knärot/A 40270-2024 karta knärot.png", "A 40270-2024")</f>
        <v/>
      </c>
      <c r="V26">
        <f>HYPERLINK("https://klasma.github.io/Logging_1421/klagomål/A 40270-2024 FSC-klagomål.docx", "A 40270-2024")</f>
        <v/>
      </c>
      <c r="W26">
        <f>HYPERLINK("https://klasma.github.io/Logging_1421/klagomålsmail/A 40270-2024 FSC-klagomål mail.docx", "A 40270-2024")</f>
        <v/>
      </c>
      <c r="X26">
        <f>HYPERLINK("https://klasma.github.io/Logging_1421/tillsyn/A 40270-2024 tillsynsbegäran.docx", "A 40270-2024")</f>
        <v/>
      </c>
      <c r="Y26">
        <f>HYPERLINK("https://klasma.github.io/Logging_1421/tillsynsmail/A 40270-2024 tillsynsbegäran mail.docx", "A 40270-2024")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46199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46199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46199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46199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46199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46199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46199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46199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46199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46199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46199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46199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46199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46199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46199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46199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46199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46199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46199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46199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</v>
      </c>
      <c r="C48" s="1" t="n">
        <v>46199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</v>
      </c>
      <c r="C49" s="1" t="n">
        <v>46199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49134-2021</t>
        </is>
      </c>
      <c r="B50" s="1" t="n">
        <v>44453</v>
      </c>
      <c r="C50" s="1" t="n">
        <v>46199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39206-2024</t>
        </is>
      </c>
      <c r="B51" s="1" t="n">
        <v>45548</v>
      </c>
      <c r="C51" s="1" t="n">
        <v>46199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22959-2025</t>
        </is>
      </c>
      <c r="B52" s="1" t="n">
        <v>45790</v>
      </c>
      <c r="C52" s="1" t="n">
        <v>46199</v>
      </c>
      <c r="D52" t="inlineStr">
        <is>
          <t>VÄSTRA GÖTALANDS LÄN</t>
        </is>
      </c>
      <c r="E52" t="inlineStr">
        <is>
          <t>ORUST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9937-2025</t>
        </is>
      </c>
      <c r="B53" s="1" t="n">
        <v>45718</v>
      </c>
      <c r="C53" s="1" t="n">
        <v>46199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13521-2025</t>
        </is>
      </c>
      <c r="B54" s="1" t="n">
        <v>45736</v>
      </c>
      <c r="C54" s="1" t="n">
        <v>46199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13536-2025</t>
        </is>
      </c>
      <c r="B55" s="1" t="n">
        <v>45736</v>
      </c>
      <c r="C55" s="1" t="n">
        <v>46199</v>
      </c>
      <c r="D55" t="inlineStr">
        <is>
          <t>VÄSTRA GÖTALANDS LÄN</t>
        </is>
      </c>
      <c r="E55" t="inlineStr">
        <is>
          <t>ORUST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14760-2025</t>
        </is>
      </c>
      <c r="B56" s="1" t="n">
        <v>45742</v>
      </c>
      <c r="C56" s="1" t="n">
        <v>46199</v>
      </c>
      <c r="D56" t="inlineStr">
        <is>
          <t>VÄSTRA GÖTALANDS LÄN</t>
        </is>
      </c>
      <c r="E56" t="inlineStr">
        <is>
          <t>ORUST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1288-2025</t>
        </is>
      </c>
      <c r="B57" s="1" t="n">
        <v>45667</v>
      </c>
      <c r="C57" s="1" t="n">
        <v>46199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34046-2024</t>
        </is>
      </c>
      <c r="B58" s="1" t="n">
        <v>45523</v>
      </c>
      <c r="C58" s="1" t="n">
        <v>46199</v>
      </c>
      <c r="D58" t="inlineStr">
        <is>
          <t>VÄSTRA GÖTALANDS LÄN</t>
        </is>
      </c>
      <c r="E58" t="inlineStr">
        <is>
          <t>ORUST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45088-2021</t>
        </is>
      </c>
      <c r="B59" s="1" t="n">
        <v>44439</v>
      </c>
      <c r="C59" s="1" t="n">
        <v>46199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24321-2025</t>
        </is>
      </c>
      <c r="B60" s="1" t="n">
        <v>45797</v>
      </c>
      <c r="C60" s="1" t="n">
        <v>46199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23682-2024</t>
        </is>
      </c>
      <c r="B61" s="1" t="n">
        <v>45454</v>
      </c>
      <c r="C61" s="1" t="n">
        <v>46199</v>
      </c>
      <c r="D61" t="inlineStr">
        <is>
          <t>VÄSTRA GÖTALANDS LÄN</t>
        </is>
      </c>
      <c r="E61" t="inlineStr">
        <is>
          <t>ORUST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24179-2025</t>
        </is>
      </c>
      <c r="B62" s="1" t="n">
        <v>45796</v>
      </c>
      <c r="C62" s="1" t="n">
        <v>46199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22750-2024</t>
        </is>
      </c>
      <c r="B63" s="1" t="n">
        <v>45448</v>
      </c>
      <c r="C63" s="1" t="n">
        <v>46199</v>
      </c>
      <c r="D63" t="inlineStr">
        <is>
          <t>VÄSTRA GÖTALANDS LÄN</t>
        </is>
      </c>
      <c r="E63" t="inlineStr">
        <is>
          <t>ORUST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40338-2025</t>
        </is>
      </c>
      <c r="B64" s="1" t="n">
        <v>45895</v>
      </c>
      <c r="C64" s="1" t="n">
        <v>46199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41063-2025</t>
        </is>
      </c>
      <c r="B65" s="1" t="n">
        <v>45898</v>
      </c>
      <c r="C65" s="1" t="n">
        <v>46199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40681-2025</t>
        </is>
      </c>
      <c r="B66" s="1" t="n">
        <v>45896</v>
      </c>
      <c r="C66" s="1" t="n">
        <v>46199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28109-2024</t>
        </is>
      </c>
      <c r="B67" s="1" t="n">
        <v>45476</v>
      </c>
      <c r="C67" s="1" t="n">
        <v>46199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47884-2024</t>
        </is>
      </c>
      <c r="B68" s="1" t="n">
        <v>45588</v>
      </c>
      <c r="C68" s="1" t="n">
        <v>46199</v>
      </c>
      <c r="D68" t="inlineStr">
        <is>
          <t>VÄSTRA GÖTALANDS LÄN</t>
        </is>
      </c>
      <c r="E68" t="inlineStr">
        <is>
          <t>ORUST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5714-2024</t>
        </is>
      </c>
      <c r="B69" s="1" t="n">
        <v>45334</v>
      </c>
      <c r="C69" s="1" t="n">
        <v>46199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41881-2025</t>
        </is>
      </c>
      <c r="B70" s="1" t="n">
        <v>45903</v>
      </c>
      <c r="C70" s="1" t="n">
        <v>46199</v>
      </c>
      <c r="D70" t="inlineStr">
        <is>
          <t>VÄSTRA GÖTALANDS LÄN</t>
        </is>
      </c>
      <c r="E70" t="inlineStr">
        <is>
          <t>ORUST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42069-2025</t>
        </is>
      </c>
      <c r="B71" s="1" t="n">
        <v>45903</v>
      </c>
      <c r="C71" s="1" t="n">
        <v>46199</v>
      </c>
      <c r="D71" t="inlineStr">
        <is>
          <t>VÄSTRA GÖTALANDS LÄN</t>
        </is>
      </c>
      <c r="E71" t="inlineStr">
        <is>
          <t>ORUST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42457-2025</t>
        </is>
      </c>
      <c r="B72" s="1" t="n">
        <v>45905</v>
      </c>
      <c r="C72" s="1" t="n">
        <v>46199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55777-2022</t>
        </is>
      </c>
      <c r="B73" s="1" t="n">
        <v>44888</v>
      </c>
      <c r="C73" s="1" t="n">
        <v>46199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44417-2024</t>
        </is>
      </c>
      <c r="B74" s="1" t="n">
        <v>45573</v>
      </c>
      <c r="C74" s="1" t="n">
        <v>46199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44754-2024</t>
        </is>
      </c>
      <c r="B75" s="1" t="n">
        <v>45574</v>
      </c>
      <c r="C75" s="1" t="n">
        <v>46199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58852-2025</t>
        </is>
      </c>
      <c r="B76" s="1" t="n">
        <v>45987</v>
      </c>
      <c r="C76" s="1" t="n">
        <v>46199</v>
      </c>
      <c r="D76" t="inlineStr">
        <is>
          <t>VÄSTRA GÖTALANDS LÄN</t>
        </is>
      </c>
      <c r="E76" t="inlineStr">
        <is>
          <t>ORUST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49822-2022</t>
        </is>
      </c>
      <c r="B77" s="1" t="n">
        <v>44862</v>
      </c>
      <c r="C77" s="1" t="n">
        <v>46199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57878-2022</t>
        </is>
      </c>
      <c r="B78" s="1" t="n">
        <v>44899</v>
      </c>
      <c r="C78" s="1" t="n">
        <v>46199</v>
      </c>
      <c r="D78" t="inlineStr">
        <is>
          <t>VÄSTRA GÖTALANDS LÄN</t>
        </is>
      </c>
      <c r="E78" t="inlineStr">
        <is>
          <t>ORUST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27555-2025</t>
        </is>
      </c>
      <c r="B79" s="1" t="n">
        <v>45813</v>
      </c>
      <c r="C79" s="1" t="n">
        <v>46199</v>
      </c>
      <c r="D79" t="inlineStr">
        <is>
          <t>VÄSTRA GÖTALANDS LÄN</t>
        </is>
      </c>
      <c r="E79" t="inlineStr">
        <is>
          <t>ORUST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54279-2024</t>
        </is>
      </c>
      <c r="B80" s="1" t="n">
        <v>45616</v>
      </c>
      <c r="C80" s="1" t="n">
        <v>46199</v>
      </c>
      <c r="D80" t="inlineStr">
        <is>
          <t>VÄSTRA GÖTALANDS LÄN</t>
        </is>
      </c>
      <c r="E80" t="inlineStr">
        <is>
          <t>ORUST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49115-2024</t>
        </is>
      </c>
      <c r="B81" s="1" t="n">
        <v>45594</v>
      </c>
      <c r="C81" s="1" t="n">
        <v>46199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58853-2025</t>
        </is>
      </c>
      <c r="B82" s="1" t="n">
        <v>45987</v>
      </c>
      <c r="C82" s="1" t="n">
        <v>46199</v>
      </c>
      <c r="D82" t="inlineStr">
        <is>
          <t>VÄSTRA GÖTALANDS LÄN</t>
        </is>
      </c>
      <c r="E82" t="inlineStr">
        <is>
          <t>ORUST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59834-2025</t>
        </is>
      </c>
      <c r="B83" s="1" t="n">
        <v>45992</v>
      </c>
      <c r="C83" s="1" t="n">
        <v>46199</v>
      </c>
      <c r="D83" t="inlineStr">
        <is>
          <t>VÄSTRA GÖTALANDS LÄN</t>
        </is>
      </c>
      <c r="E83" t="inlineStr">
        <is>
          <t>ORUST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30440-2024</t>
        </is>
      </c>
      <c r="B84" s="1" t="n">
        <v>45491</v>
      </c>
      <c r="C84" s="1" t="n">
        <v>46199</v>
      </c>
      <c r="D84" t="inlineStr">
        <is>
          <t>VÄSTRA GÖTALANDS LÄN</t>
        </is>
      </c>
      <c r="E84" t="inlineStr">
        <is>
          <t>ORUST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62516-2022</t>
        </is>
      </c>
      <c r="B85" s="1" t="n">
        <v>44924</v>
      </c>
      <c r="C85" s="1" t="n">
        <v>46199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61319-2025</t>
        </is>
      </c>
      <c r="B86" s="1" t="n">
        <v>46000</v>
      </c>
      <c r="C86" s="1" t="n">
        <v>46199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47630-2025</t>
        </is>
      </c>
      <c r="B87" s="1" t="n">
        <v>45931</v>
      </c>
      <c r="C87" s="1" t="n">
        <v>46199</v>
      </c>
      <c r="D87" t="inlineStr">
        <is>
          <t>VÄSTRA GÖTALANDS LÄN</t>
        </is>
      </c>
      <c r="E87" t="inlineStr">
        <is>
          <t>ORUST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48419-2025</t>
        </is>
      </c>
      <c r="B88" s="1" t="n">
        <v>45934</v>
      </c>
      <c r="C88" s="1" t="n">
        <v>46199</v>
      </c>
      <c r="D88" t="inlineStr">
        <is>
          <t>VÄSTRA GÖTALANDS LÄN</t>
        </is>
      </c>
      <c r="E88" t="inlineStr">
        <is>
          <t>ORUST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49365-2025</t>
        </is>
      </c>
      <c r="B89" s="1" t="n">
        <v>45938</v>
      </c>
      <c r="C89" s="1" t="n">
        <v>46199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40743-2024</t>
        </is>
      </c>
      <c r="B90" s="1" t="n">
        <v>45558</v>
      </c>
      <c r="C90" s="1" t="n">
        <v>46199</v>
      </c>
      <c r="D90" t="inlineStr">
        <is>
          <t>VÄSTRA GÖTALANDS LÄN</t>
        </is>
      </c>
      <c r="E90" t="inlineStr">
        <is>
          <t>ORUST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49072-2025</t>
        </is>
      </c>
      <c r="B91" s="1" t="n">
        <v>45937</v>
      </c>
      <c r="C91" s="1" t="n">
        <v>46199</v>
      </c>
      <c r="D91" t="inlineStr">
        <is>
          <t>VÄSTRA GÖTALANDS LÄN</t>
        </is>
      </c>
      <c r="E91" t="inlineStr">
        <is>
          <t>ORUST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33300-2025</t>
        </is>
      </c>
      <c r="B92" s="1" t="n">
        <v>45840</v>
      </c>
      <c r="C92" s="1" t="n">
        <v>46199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33295-2025</t>
        </is>
      </c>
      <c r="B93" s="1" t="n">
        <v>45840</v>
      </c>
      <c r="C93" s="1" t="n">
        <v>46199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33299-2025</t>
        </is>
      </c>
      <c r="B94" s="1" t="n">
        <v>45840</v>
      </c>
      <c r="C94" s="1" t="n">
        <v>46199</v>
      </c>
      <c r="D94" t="inlineStr">
        <is>
          <t>VÄSTRA GÖTALANDS LÄN</t>
        </is>
      </c>
      <c r="E94" t="inlineStr">
        <is>
          <t>ORUST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49617-2023</t>
        </is>
      </c>
      <c r="B95" s="1" t="n">
        <v>45211</v>
      </c>
      <c r="C95" s="1" t="n">
        <v>46199</v>
      </c>
      <c r="D95" t="inlineStr">
        <is>
          <t>VÄSTRA GÖTALANDS LÄN</t>
        </is>
      </c>
      <c r="E95" t="inlineStr">
        <is>
          <t>ORUST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34502-2025</t>
        </is>
      </c>
      <c r="B96" s="1" t="n">
        <v>45847</v>
      </c>
      <c r="C96" s="1" t="n">
        <v>46199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20131-2025</t>
        </is>
      </c>
      <c r="B97" s="1" t="n">
        <v>45772</v>
      </c>
      <c r="C97" s="1" t="n">
        <v>46199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2435-2026</t>
        </is>
      </c>
      <c r="B98" s="1" t="n">
        <v>46036</v>
      </c>
      <c r="C98" s="1" t="n">
        <v>46199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2436-2026</t>
        </is>
      </c>
      <c r="B99" s="1" t="n">
        <v>46036</v>
      </c>
      <c r="C99" s="1" t="n">
        <v>46199</v>
      </c>
      <c r="D99" t="inlineStr">
        <is>
          <t>VÄSTRA GÖTALANDS LÄN</t>
        </is>
      </c>
      <c r="E99" t="inlineStr">
        <is>
          <t>ORUST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46199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46199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4114-2026</t>
        </is>
      </c>
      <c r="B102" s="1" t="n">
        <v>46044</v>
      </c>
      <c r="C102" s="1" t="n">
        <v>46199</v>
      </c>
      <c r="D102" t="inlineStr">
        <is>
          <t>VÄSTRA GÖTALANDS LÄN</t>
        </is>
      </c>
      <c r="E102" t="inlineStr">
        <is>
          <t>ORUST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50532-2024</t>
        </is>
      </c>
      <c r="B103" s="1" t="n">
        <v>45601</v>
      </c>
      <c r="C103" s="1" t="n">
        <v>46199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6739-2026</t>
        </is>
      </c>
      <c r="B104" s="1" t="n">
        <v>46056</v>
      </c>
      <c r="C104" s="1" t="n">
        <v>46199</v>
      </c>
      <c r="D104" t="inlineStr">
        <is>
          <t>VÄSTRA GÖTALANDS LÄN</t>
        </is>
      </c>
      <c r="E104" t="inlineStr">
        <is>
          <t>ORUST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34354-2023</t>
        </is>
      </c>
      <c r="B105" s="1" t="n">
        <v>45139</v>
      </c>
      <c r="C105" s="1" t="n">
        <v>46199</v>
      </c>
      <c r="D105" t="inlineStr">
        <is>
          <t>VÄSTRA GÖTALANDS LÄN</t>
        </is>
      </c>
      <c r="E105" t="inlineStr">
        <is>
          <t>ORUST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8457-2026</t>
        </is>
      </c>
      <c r="B106" s="1" t="n">
        <v>46065</v>
      </c>
      <c r="C106" s="1" t="n">
        <v>46199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33454-2023</t>
        </is>
      </c>
      <c r="B107" s="1" t="n">
        <v>45130</v>
      </c>
      <c r="C107" s="1" t="n">
        <v>46199</v>
      </c>
      <c r="D107" t="inlineStr">
        <is>
          <t>VÄSTRA GÖTALANDS LÄN</t>
        </is>
      </c>
      <c r="E107" t="inlineStr">
        <is>
          <t>ORUST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9344-2026</t>
        </is>
      </c>
      <c r="B108" s="1" t="n">
        <v>46070</v>
      </c>
      <c r="C108" s="1" t="n">
        <v>46199</v>
      </c>
      <c r="D108" t="inlineStr">
        <is>
          <t>VÄSTRA GÖTALANDS LÄN</t>
        </is>
      </c>
      <c r="E108" t="inlineStr">
        <is>
          <t>ORUST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9194-2026</t>
        </is>
      </c>
      <c r="B109" s="1" t="n">
        <v>46070</v>
      </c>
      <c r="C109" s="1" t="n">
        <v>46199</v>
      </c>
      <c r="D109" t="inlineStr">
        <is>
          <t>VÄSTRA GÖTALANDS LÄN</t>
        </is>
      </c>
      <c r="E109" t="inlineStr">
        <is>
          <t>ORUST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2213-2025</t>
        </is>
      </c>
      <c r="B110" s="1" t="n">
        <v>45673</v>
      </c>
      <c r="C110" s="1" t="n">
        <v>46199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38322-2023</t>
        </is>
      </c>
      <c r="B111" s="1" t="n">
        <v>45161</v>
      </c>
      <c r="C111" s="1" t="n">
        <v>46199</v>
      </c>
      <c r="D111" t="inlineStr">
        <is>
          <t>VÄSTRA GÖTALANDS LÄN</t>
        </is>
      </c>
      <c r="E111" t="inlineStr">
        <is>
          <t>ORUST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10118-2026</t>
        </is>
      </c>
      <c r="B112" s="1" t="n">
        <v>46075</v>
      </c>
      <c r="C112" s="1" t="n">
        <v>46199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57445-2024</t>
        </is>
      </c>
      <c r="B113" s="1" t="n">
        <v>45629</v>
      </c>
      <c r="C113" s="1" t="n">
        <v>46199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12087-2026</t>
        </is>
      </c>
      <c r="B114" s="1" t="n">
        <v>46086</v>
      </c>
      <c r="C114" s="1" t="n">
        <v>46199</v>
      </c>
      <c r="D114" t="inlineStr">
        <is>
          <t>VÄSTRA GÖTALANDS LÄN</t>
        </is>
      </c>
      <c r="E114" t="inlineStr">
        <is>
          <t>ORUST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14802-2023</t>
        </is>
      </c>
      <c r="B115" s="1" t="n">
        <v>45014</v>
      </c>
      <c r="C115" s="1" t="n">
        <v>46199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36404-2024</t>
        </is>
      </c>
      <c r="B116" s="1" t="n">
        <v>45535</v>
      </c>
      <c r="C116" s="1" t="n">
        <v>46199</v>
      </c>
      <c r="D116" t="inlineStr">
        <is>
          <t>VÄSTRA GÖTALANDS LÄN</t>
        </is>
      </c>
      <c r="E116" t="inlineStr">
        <is>
          <t>ORUST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17426-2026</t>
        </is>
      </c>
      <c r="B117" s="1" t="n">
        <v>46120</v>
      </c>
      <c r="C117" s="1" t="n">
        <v>46199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23918-2026</t>
        </is>
      </c>
      <c r="B118" s="1" t="n">
        <v>46167</v>
      </c>
      <c r="C118" s="1" t="n">
        <v>46199</v>
      </c>
      <c r="D118" t="inlineStr">
        <is>
          <t>VÄSTRA GÖTALANDS LÄN</t>
        </is>
      </c>
      <c r="E118" t="inlineStr">
        <is>
          <t>ORUST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18431-2026</t>
        </is>
      </c>
      <c r="B119" s="1" t="n">
        <v>46127</v>
      </c>
      <c r="C119" s="1" t="n">
        <v>46199</v>
      </c>
      <c r="D119" t="inlineStr">
        <is>
          <t>VÄSTRA GÖTALANDS LÄN</t>
        </is>
      </c>
      <c r="E119" t="inlineStr">
        <is>
          <t>ORUST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46199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18763-2026</t>
        </is>
      </c>
      <c r="B121" s="1" t="n">
        <v>46128</v>
      </c>
      <c r="C121" s="1" t="n">
        <v>46199</v>
      </c>
      <c r="D121" t="inlineStr">
        <is>
          <t>VÄSTRA GÖTALANDS LÄN</t>
        </is>
      </c>
      <c r="E121" t="inlineStr">
        <is>
          <t>ORUST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24605-2026</t>
        </is>
      </c>
      <c r="B122" s="1" t="n">
        <v>46170</v>
      </c>
      <c r="C122" s="1" t="n">
        <v>46199</v>
      </c>
      <c r="D122" t="inlineStr">
        <is>
          <t>VÄSTRA GÖTALANDS LÄN</t>
        </is>
      </c>
      <c r="E122" t="inlineStr">
        <is>
          <t>ORUST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25138-2026</t>
        </is>
      </c>
      <c r="B123" s="1" t="n">
        <v>46175</v>
      </c>
      <c r="C123" s="1" t="n">
        <v>46199</v>
      </c>
      <c r="D123" t="inlineStr">
        <is>
          <t>VÄSTRA GÖTALANDS LÄN</t>
        </is>
      </c>
      <c r="E123" t="inlineStr">
        <is>
          <t>ORUST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25123-2026</t>
        </is>
      </c>
      <c r="B124" s="1" t="n">
        <v>46175</v>
      </c>
      <c r="C124" s="1" t="n">
        <v>46199</v>
      </c>
      <c r="D124" t="inlineStr">
        <is>
          <t>VÄSTRA GÖTALANDS LÄN</t>
        </is>
      </c>
      <c r="E124" t="inlineStr">
        <is>
          <t>ORUST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62086-2022</t>
        </is>
      </c>
      <c r="B125" s="1" t="n">
        <v>44919</v>
      </c>
      <c r="C125" s="1" t="n">
        <v>46199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6957-2024</t>
        </is>
      </c>
      <c r="B126" s="1" t="n">
        <v>45343</v>
      </c>
      <c r="C126" s="1" t="n">
        <v>46199</v>
      </c>
      <c r="D126" t="inlineStr">
        <is>
          <t>VÄSTRA GÖTALANDS LÄN</t>
        </is>
      </c>
      <c r="E126" t="inlineStr">
        <is>
          <t>ORUST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2632-2024</t>
        </is>
      </c>
      <c r="B127" s="1" t="n">
        <v>45313</v>
      </c>
      <c r="C127" s="1" t="n">
        <v>46199</v>
      </c>
      <c r="D127" t="inlineStr">
        <is>
          <t>VÄSTRA GÖTALANDS LÄN</t>
        </is>
      </c>
      <c r="E127" t="inlineStr">
        <is>
          <t>ORUST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1663-2024</t>
        </is>
      </c>
      <c r="B128" s="1" t="n">
        <v>45306</v>
      </c>
      <c r="C128" s="1" t="n">
        <v>46199</v>
      </c>
      <c r="D128" t="inlineStr">
        <is>
          <t>VÄSTRA GÖTALANDS LÄN</t>
        </is>
      </c>
      <c r="E128" t="inlineStr">
        <is>
          <t>ORUST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32175-2024</t>
        </is>
      </c>
      <c r="B129" s="1" t="n">
        <v>45511</v>
      </c>
      <c r="C129" s="1" t="n">
        <v>46199</v>
      </c>
      <c r="D129" t="inlineStr">
        <is>
          <t>VÄSTRA GÖTALANDS LÄN</t>
        </is>
      </c>
      <c r="E129" t="inlineStr">
        <is>
          <t>ORUST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63626-2023</t>
        </is>
      </c>
      <c r="B130" s="1" t="n">
        <v>45275</v>
      </c>
      <c r="C130" s="1" t="n">
        <v>46199</v>
      </c>
      <c r="D130" t="inlineStr">
        <is>
          <t>VÄSTRA GÖTALANDS LÄN</t>
        </is>
      </c>
      <c r="E130" t="inlineStr">
        <is>
          <t>ORUST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</v>
      </c>
      <c r="C131" s="1" t="n">
        <v>46199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56496-2021</t>
        </is>
      </c>
      <c r="B132" s="1" t="n">
        <v>44480</v>
      </c>
      <c r="C132" s="1" t="n">
        <v>46199</v>
      </c>
      <c r="D132" t="inlineStr">
        <is>
          <t>VÄSTRA GÖTALANDS LÄN</t>
        </is>
      </c>
      <c r="E132" t="inlineStr">
        <is>
          <t>ORUST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40328-2025</t>
        </is>
      </c>
      <c r="B133" s="1" t="n">
        <v>45895</v>
      </c>
      <c r="C133" s="1" t="n">
        <v>46199</v>
      </c>
      <c r="D133" t="inlineStr">
        <is>
          <t>VÄSTRA GÖTALANDS LÄN</t>
        </is>
      </c>
      <c r="E133" t="inlineStr">
        <is>
          <t>ORUST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25963-2026</t>
        </is>
      </c>
      <c r="B134" s="1" t="n">
        <v>46181</v>
      </c>
      <c r="C134" s="1" t="n">
        <v>46199</v>
      </c>
      <c r="D134" t="inlineStr">
        <is>
          <t>VÄSTRA GÖTALANDS LÄN</t>
        </is>
      </c>
      <c r="E134" t="inlineStr">
        <is>
          <t>ORUST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27277-2025</t>
        </is>
      </c>
      <c r="B135" s="1" t="n">
        <v>45812</v>
      </c>
      <c r="C135" s="1" t="n">
        <v>46199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5926-2024</t>
        </is>
      </c>
      <c r="B136" s="1" t="n">
        <v>45336</v>
      </c>
      <c r="C136" s="1" t="n">
        <v>46199</v>
      </c>
      <c r="D136" t="inlineStr">
        <is>
          <t>VÄSTRA GÖTALANDS LÄN</t>
        </is>
      </c>
      <c r="E136" t="inlineStr">
        <is>
          <t>ORUST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23258-2025</t>
        </is>
      </c>
      <c r="B137" s="1" t="n">
        <v>45791</v>
      </c>
      <c r="C137" s="1" t="n">
        <v>46199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33296-2025</t>
        </is>
      </c>
      <c r="B138" s="1" t="n">
        <v>45840</v>
      </c>
      <c r="C138" s="1" t="n">
        <v>46199</v>
      </c>
      <c r="D138" t="inlineStr">
        <is>
          <t>VÄSTRA GÖTALANDS LÄN</t>
        </is>
      </c>
      <c r="E138" t="inlineStr">
        <is>
          <t>ORUST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20819-2023</t>
        </is>
      </c>
      <c r="B139" s="1" t="n">
        <v>45058</v>
      </c>
      <c r="C139" s="1" t="n">
        <v>46199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34500-2025</t>
        </is>
      </c>
      <c r="B140" s="1" t="n">
        <v>45847</v>
      </c>
      <c r="C140" s="1" t="n">
        <v>46199</v>
      </c>
      <c r="D140" t="inlineStr">
        <is>
          <t>VÄSTRA GÖTALANDS LÄN</t>
        </is>
      </c>
      <c r="E140" t="inlineStr">
        <is>
          <t>ORUST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68727-2021</t>
        </is>
      </c>
      <c r="B141" s="1" t="n">
        <v>44529</v>
      </c>
      <c r="C141" s="1" t="n">
        <v>46199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54128-2025</t>
        </is>
      </c>
      <c r="B142" s="1" t="n">
        <v>45964</v>
      </c>
      <c r="C142" s="1" t="n">
        <v>46199</v>
      </c>
      <c r="D142" t="inlineStr">
        <is>
          <t>VÄSTRA GÖTALANDS LÄN</t>
        </is>
      </c>
      <c r="E142" t="inlineStr">
        <is>
          <t>ORUST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20675-2026</t>
        </is>
      </c>
      <c r="B143" s="1" t="n">
        <v>46141</v>
      </c>
      <c r="C143" s="1" t="n">
        <v>46199</v>
      </c>
      <c r="D143" t="inlineStr">
        <is>
          <t>VÄSTRA GÖTALANDS LÄN</t>
        </is>
      </c>
      <c r="E143" t="inlineStr">
        <is>
          <t>ORUST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43752-2023</t>
        </is>
      </c>
      <c r="B144" s="1" t="n">
        <v>45187</v>
      </c>
      <c r="C144" s="1" t="n">
        <v>46199</v>
      </c>
      <c r="D144" t="inlineStr">
        <is>
          <t>VÄSTRA GÖTALANDS LÄN</t>
        </is>
      </c>
      <c r="E144" t="inlineStr">
        <is>
          <t>ORUST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34217-2022</t>
        </is>
      </c>
      <c r="B145" s="1" t="n">
        <v>44791</v>
      </c>
      <c r="C145" s="1" t="n">
        <v>46199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6986-2024</t>
        </is>
      </c>
      <c r="B146" s="1" t="n">
        <v>45343</v>
      </c>
      <c r="C146" s="1" t="n">
        <v>46199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5715-2024</t>
        </is>
      </c>
      <c r="B147" s="1" t="n">
        <v>45334</v>
      </c>
      <c r="C147" s="1" t="n">
        <v>46199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5454-2025</t>
        </is>
      </c>
      <c r="B148" s="1" t="n">
        <v>45692</v>
      </c>
      <c r="C148" s="1" t="n">
        <v>46199</v>
      </c>
      <c r="D148" t="inlineStr">
        <is>
          <t>VÄSTRA GÖTALANDS LÄN</t>
        </is>
      </c>
      <c r="E148" t="inlineStr">
        <is>
          <t>ORUST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19005-2023</t>
        </is>
      </c>
      <c r="B149" s="1" t="n">
        <v>45045</v>
      </c>
      <c r="C149" s="1" t="n">
        <v>46199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34056-2024</t>
        </is>
      </c>
      <c r="B150" s="1" t="n">
        <v>45523</v>
      </c>
      <c r="C150" s="1" t="n">
        <v>46199</v>
      </c>
      <c r="D150" t="inlineStr">
        <is>
          <t>VÄSTRA GÖTALANDS LÄN</t>
        </is>
      </c>
      <c r="E150" t="inlineStr">
        <is>
          <t>ORUST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59915-2024</t>
        </is>
      </c>
      <c r="B151" s="1" t="n">
        <v>45641</v>
      </c>
      <c r="C151" s="1" t="n">
        <v>46199</v>
      </c>
      <c r="D151" t="inlineStr">
        <is>
          <t>VÄSTRA GÖTALANDS LÄN</t>
        </is>
      </c>
      <c r="E151" t="inlineStr">
        <is>
          <t>ORUST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57877-2022</t>
        </is>
      </c>
      <c r="B152" s="1" t="n">
        <v>44899</v>
      </c>
      <c r="C152" s="1" t="n">
        <v>46199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13378-2023</t>
        </is>
      </c>
      <c r="B153" s="1" t="n">
        <v>45005</v>
      </c>
      <c r="C153" s="1" t="n">
        <v>46199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25925-2024</t>
        </is>
      </c>
      <c r="B154" s="1" t="n">
        <v>45467</v>
      </c>
      <c r="C154" s="1" t="n">
        <v>46199</v>
      </c>
      <c r="D154" t="inlineStr">
        <is>
          <t>VÄSTRA GÖTALANDS LÄN</t>
        </is>
      </c>
      <c r="E154" t="inlineStr">
        <is>
          <t>ORUST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34155-2024</t>
        </is>
      </c>
      <c r="B155" s="1" t="n">
        <v>45524</v>
      </c>
      <c r="C155" s="1" t="n">
        <v>46199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18791-2023</t>
        </is>
      </c>
      <c r="B156" s="1" t="n">
        <v>45044</v>
      </c>
      <c r="C156" s="1" t="n">
        <v>46199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42712-2023</t>
        </is>
      </c>
      <c r="B157" s="1" t="n">
        <v>45181</v>
      </c>
      <c r="C157" s="1" t="n">
        <v>46199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71890-2021</t>
        </is>
      </c>
      <c r="B158" s="1" t="n">
        <v>44543</v>
      </c>
      <c r="C158" s="1" t="n">
        <v>46199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49134-2021</t>
        </is>
      </c>
      <c r="B159" s="1" t="n">
        <v>44453</v>
      </c>
      <c r="C159" s="1" t="n">
        <v>46199</v>
      </c>
      <c r="D159" t="inlineStr">
        <is>
          <t>VÄSTRA GÖTALANDS LÄN</t>
        </is>
      </c>
      <c r="E159" t="inlineStr">
        <is>
          <t>ORUST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46199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40722-2024</t>
        </is>
      </c>
      <c r="B161" s="1" t="n">
        <v>45558</v>
      </c>
      <c r="C161" s="1" t="n">
        <v>46199</v>
      </c>
      <c r="D161" t="inlineStr">
        <is>
          <t>VÄSTRA GÖTALANDS LÄN</t>
        </is>
      </c>
      <c r="E161" t="inlineStr">
        <is>
          <t>ORUST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62369-2023</t>
        </is>
      </c>
      <c r="B162" s="1" t="n">
        <v>45268</v>
      </c>
      <c r="C162" s="1" t="n">
        <v>46199</v>
      </c>
      <c r="D162" t="inlineStr">
        <is>
          <t>VÄSTRA GÖTALANDS LÄN</t>
        </is>
      </c>
      <c r="E162" t="inlineStr">
        <is>
          <t>ORUST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14547-2022</t>
        </is>
      </c>
      <c r="B163" s="1" t="n">
        <v>44655</v>
      </c>
      <c r="C163" s="1" t="n">
        <v>46199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46199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13377-2023</t>
        </is>
      </c>
      <c r="B165" s="1" t="n">
        <v>45005</v>
      </c>
      <c r="C165" s="1" t="n">
        <v>46199</v>
      </c>
      <c r="D165" t="inlineStr">
        <is>
          <t>VÄSTRA GÖTALANDS LÄN</t>
        </is>
      </c>
      <c r="E165" t="inlineStr">
        <is>
          <t>ORUST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61302-2024</t>
        </is>
      </c>
      <c r="B166" s="1" t="n">
        <v>45645</v>
      </c>
      <c r="C166" s="1" t="n">
        <v>46199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50562-2024</t>
        </is>
      </c>
      <c r="B167" s="1" t="n">
        <v>45601</v>
      </c>
      <c r="C167" s="1" t="n">
        <v>46199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36999-2023</t>
        </is>
      </c>
      <c r="B168" s="1" t="n">
        <v>45155</v>
      </c>
      <c r="C168" s="1" t="n">
        <v>46199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2026-06-26T00:49:41Z</dcterms:created>
  <dcterms:modified xmlns:dcterms="http://purl.org/dc/terms/" xmlns:xsi="http://www.w3.org/2001/XMLSchema-instance" xsi:type="dcterms:W3CDTF">2026-06-26T00:49:41Z</dcterms:modified>
</cp:coreProperties>
</file>