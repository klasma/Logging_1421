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46230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46230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46230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46230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46230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46230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46230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46230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46230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46230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46230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49047-2025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45937</v>
      </c>
      <c r="E13" s="1" t="n">
        <v>46230</v>
      </c>
      <c r="F13" t="inlineStr">
        <is>
          <t>VÄSTRA GÖTALANDS LÄN</t>
        </is>
      </c>
      <c r="G13" t="inlineStr">
        <is>
          <t>ORUST</t>
        </is>
      </c>
      <c r="I13" t="n">
        <v>3.2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HYPERLINK("https://klasma.github.io/Logging_1421/artfynd/A 49047-2025 artfynd.xlsx", "A 49047-2025")</f>
        <v/>
      </c>
      <c r="X13">
        <f>HYPERLINK("https://klasma.github.io/Logging_1421/kartor/A 49047-2025 karta.png", "A 49047-2025")</f>
        <v/>
      </c>
      <c r="Y13">
        <f>HYPERLINK("https://klasma.github.io/Logging_1421/kartor_geotiff/A 49047-2025 georefererad karta.tif", "A 49047-2025")</f>
        <v/>
      </c>
      <c r="AA13">
        <f>HYPERLINK("https://klasma.github.io/Logging_1421/klagomål/A 49047-2025 FSC-klagomål.docx", "A 49047-2025")</f>
        <v/>
      </c>
      <c r="AB13">
        <f>HYPERLINK("https://klasma.github.io/Logging_1421/klagomålsmail/A 49047-2025 FSC-klagomål mail.docx", "A 49047-2025")</f>
        <v/>
      </c>
      <c r="AC13">
        <f>HYPERLINK("https://klasma.github.io/Logging_1421/tillsyn/A 49047-2025 tillsynsbegäran.docx", "A 49047-2025")</f>
        <v/>
      </c>
      <c r="AD13">
        <f>HYPERLINK("https://klasma.github.io/Logging_1421/tillsynsmail/A 49047-2025 tillsynsbegäran mail.docx", "A 49047-2025")</f>
        <v/>
      </c>
    </row>
    <row r="14" ht="15" customHeight="1">
      <c r="A14" t="inlineStr">
        <is>
          <t>A 41056-2025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46230</v>
      </c>
      <c r="F14" t="inlineStr">
        <is>
          <t>VÄSTRA GÖTALANDS LÄN</t>
        </is>
      </c>
      <c r="G14" t="inlineStr">
        <is>
          <t>ORUST</t>
        </is>
      </c>
      <c r="I14" t="n">
        <v>3.3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Grönpyrola</t>
        </is>
      </c>
      <c r="W14">
        <f>HYPERLINK("https://klasma.github.io/Logging_1421/artfynd/A 41056-2025 artfynd.xlsx", "A 41056-2025")</f>
        <v/>
      </c>
      <c r="X14">
        <f>HYPERLINK("https://klasma.github.io/Logging_1421/kartor/A 41056-2025 karta.png", "A 41056-2025")</f>
        <v/>
      </c>
      <c r="Y14">
        <f>HYPERLINK("https://klasma.github.io/Logging_1421/kartor_geotiff/A 41056-2025 georefererad karta.tif", "A 41056-2025")</f>
        <v/>
      </c>
      <c r="AA14">
        <f>HYPERLINK("https://klasma.github.io/Logging_1421/klagomål/A 41056-2025 FSC-klagomål.docx", "A 41056-2025")</f>
        <v/>
      </c>
      <c r="AB14">
        <f>HYPERLINK("https://klasma.github.io/Logging_1421/klagomålsmail/A 41056-2025 FSC-klagomål mail.docx", "A 41056-2025")</f>
        <v/>
      </c>
      <c r="AC14">
        <f>HYPERLINK("https://klasma.github.io/Logging_1421/tillsyn/A 41056-2025 tillsynsbegäran.docx", "A 41056-2025")</f>
        <v/>
      </c>
      <c r="AD14">
        <f>HYPERLINK("https://klasma.github.io/Logging_1421/tillsynsmail/A 41056-2025 tillsynsbegäran mail.docx", "A 41056-2025")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46230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56035-2025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45973</v>
      </c>
      <c r="E16" s="1" t="n">
        <v>46230</v>
      </c>
      <c r="F16" t="inlineStr">
        <is>
          <t>VÄSTRA GÖTALANDS LÄN</t>
        </is>
      </c>
      <c r="G16" t="inlineStr">
        <is>
          <t>ORUST</t>
        </is>
      </c>
      <c r="I16" t="n">
        <v>15.9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0</v>
      </c>
      <c r="V16" s="2" t="inlineStr">
        <is>
          <t>Knärot</t>
        </is>
      </c>
      <c r="W16">
        <f>HYPERLINK("https://klasma.github.io/Logging_1421/artfynd/A 56035-2025 artfynd.xlsx", "A 56035-2025")</f>
        <v/>
      </c>
      <c r="X16">
        <f>HYPERLINK("https://klasma.github.io/Logging_1421/kartor/A 56035-2025 karta.png", "A 56035-2025")</f>
        <v/>
      </c>
      <c r="Y16">
        <f>HYPERLINK("https://klasma.github.io/Logging_1421/kartor_geotiff/A 56035-2025 georefererad karta.tif", "A 56035-2025")</f>
        <v/>
      </c>
      <c r="Z16">
        <f>HYPERLINK("https://klasma.github.io/Logging_1421/knärot/A 56035-2025 karta knärot.png", "A 56035-2025")</f>
        <v/>
      </c>
      <c r="AA16">
        <f>HYPERLINK("https://klasma.github.io/Logging_1421/klagomål/A 56035-2025 FSC-klagomål.docx", "A 56035-2025")</f>
        <v/>
      </c>
      <c r="AB16">
        <f>HYPERLINK("https://klasma.github.io/Logging_1421/klagomålsmail/A 56035-2025 FSC-klagomål mail.docx", "A 56035-2025")</f>
        <v/>
      </c>
      <c r="AC16">
        <f>HYPERLINK("https://klasma.github.io/Logging_1421/tillsyn/A 56035-2025 tillsynsbegäran.docx", "A 56035-2025")</f>
        <v/>
      </c>
      <c r="AD16">
        <f>HYPERLINK("https://klasma.github.io/Logging_1421/tillsynsmail/A 56035-2025 tillsynsbegäran mail.docx", "A 56035-2025")</f>
        <v/>
      </c>
    </row>
    <row r="17" ht="15" customHeight="1">
      <c r="A17" t="inlineStr">
        <is>
          <t>A 23921-2026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46230</v>
      </c>
      <c r="F17" t="inlineStr">
        <is>
          <t>VÄSTRA GÖTALANDS LÄN</t>
        </is>
      </c>
      <c r="G17" t="inlineStr">
        <is>
          <t>ORUST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Västlig hakmossa</t>
        </is>
      </c>
      <c r="W17">
        <f>HYPERLINK("https://klasma.github.io/Logging_1421/artfynd/A 23921-2026 artfynd.xlsx", "A 23921-2026")</f>
        <v/>
      </c>
      <c r="X17">
        <f>HYPERLINK("https://klasma.github.io/Logging_1421/kartor/A 23921-2026 karta.png", "A 23921-2026")</f>
        <v/>
      </c>
      <c r="Y17">
        <f>HYPERLINK("https://klasma.github.io/Logging_1421/kartor_geotiff/A 23921-2026 georefererad karta.tif", "A 23921-2026")</f>
        <v/>
      </c>
      <c r="AA17">
        <f>HYPERLINK("https://klasma.github.io/Logging_1421/klagomål/A 23921-2026 FSC-klagomål.docx", "A 23921-2026")</f>
        <v/>
      </c>
      <c r="AB17">
        <f>HYPERLINK("https://klasma.github.io/Logging_1421/klagomålsmail/A 23921-2026 FSC-klagomål mail.docx", "A 23921-2026")</f>
        <v/>
      </c>
      <c r="AC17">
        <f>HYPERLINK("https://klasma.github.io/Logging_1421/tillsyn/A 23921-2026 tillsynsbegäran.docx", "A 23921-2026")</f>
        <v/>
      </c>
      <c r="AD17">
        <f>HYPERLINK("https://klasma.github.io/Logging_1421/tillsynsmail/A 23921-2026 tillsynsbegäran mail.docx", "A 23921-2026")</f>
        <v/>
      </c>
    </row>
    <row r="18" ht="15" customHeight="1">
      <c r="A18" t="inlineStr">
        <is>
          <t>A 13220-2024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45386</v>
      </c>
      <c r="E18" s="1" t="n">
        <v>46230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13220-2024 artfynd.xlsx", "A 13220-2024")</f>
        <v/>
      </c>
      <c r="X18">
        <f>HYPERLINK("https://klasma.github.io/Logging_1421/kartor/A 13220-2024 karta.png", "A 13220-2024")</f>
        <v/>
      </c>
      <c r="Y18">
        <f>HYPERLINK("https://klasma.github.io/Logging_1421/kartor_geotiff/A 13220-2024 georefererad karta.tif", "A 13220-2024")</f>
        <v/>
      </c>
      <c r="Z18">
        <f>HYPERLINK("https://klasma.github.io/Logging_1421/knärot/A 13220-2024 karta knärot.png", "A 13220-2024")</f>
        <v/>
      </c>
      <c r="AA18">
        <f>HYPERLINK("https://klasma.github.io/Logging_1421/klagomål/A 13220-2024 FSC-klagomål.docx", "A 13220-2024")</f>
        <v/>
      </c>
      <c r="AB18">
        <f>HYPERLINK("https://klasma.github.io/Logging_1421/klagomålsmail/A 13220-2024 FSC-klagomål mail.docx", "A 13220-2024")</f>
        <v/>
      </c>
      <c r="AC18">
        <f>HYPERLINK("https://klasma.github.io/Logging_1421/tillsyn/A 13220-2024 tillsynsbegäran.docx", "A 13220-2024")</f>
        <v/>
      </c>
      <c r="AD18">
        <f>HYPERLINK("https://klasma.github.io/Logging_1421/tillsynsmail/A 13220-2024 tillsynsbegäran mail.docx", "A 13220-2024")</f>
        <v/>
      </c>
    </row>
    <row r="19" ht="15" customHeight="1">
      <c r="A19" t="inlineStr">
        <is>
          <t>A 24618-2024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46230</v>
      </c>
      <c r="F19" t="inlineStr">
        <is>
          <t>VÄSTRA GÖTALANDS LÄN</t>
        </is>
      </c>
      <c r="G19" t="inlineStr">
        <is>
          <t>ORUST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HYPERLINK("https://klasma.github.io/Logging_1421/artfynd/A 24618-2024 artfynd.xlsx", "A 24618-2024")</f>
        <v/>
      </c>
      <c r="X19">
        <f>HYPERLINK("https://klasma.github.io/Logging_1421/kartor/A 24618-2024 karta.png", "A 24618-2024")</f>
        <v/>
      </c>
      <c r="Y19">
        <f>HYPERLINK("https://klasma.github.io/Logging_1421/kartor_geotiff/A 24618-2024 georefererad karta.tif", "A 24618-2024")</f>
        <v/>
      </c>
      <c r="AA19">
        <f>HYPERLINK("https://klasma.github.io/Logging_1421/klagomål/A 24618-2024 FSC-klagomål.docx", "A 24618-2024")</f>
        <v/>
      </c>
      <c r="AB19">
        <f>HYPERLINK("https://klasma.github.io/Logging_1421/klagomålsmail/A 24618-2024 FSC-klagomål mail.docx", "A 24618-2024")</f>
        <v/>
      </c>
      <c r="AC19">
        <f>HYPERLINK("https://klasma.github.io/Logging_1421/tillsyn/A 24618-2024 tillsynsbegäran.docx", "A 24618-2024")</f>
        <v/>
      </c>
      <c r="AD19">
        <f>HYPERLINK("https://klasma.github.io/Logging_1421/tillsynsmail/A 24618-2024 tillsynsbegäran mail.docx", "A 24618-2024")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46230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46230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45334</v>
      </c>
      <c r="E22" s="1" t="n">
        <v>46230</v>
      </c>
      <c r="F22" t="inlineStr">
        <is>
          <t>VÄSTRA GÖTALANDS LÄN</t>
        </is>
      </c>
      <c r="G22" t="inlineStr">
        <is>
          <t>ORUST</t>
        </is>
      </c>
      <c r="I22" t="n">
        <v>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5617-2024 artfynd.xlsx", "A 5617-2024")</f>
        <v/>
      </c>
      <c r="X22">
        <f>HYPERLINK("https://klasma.github.io/Logging_1421/kartor/A 5617-2024 karta.png", "A 5617-2024")</f>
        <v/>
      </c>
      <c r="Y22">
        <f>HYPERLINK("https://klasma.github.io/Logging_1421/kartor_geotiff/A 5617-2024 georefererad karta.tif", "A 5617-2024")</f>
        <v/>
      </c>
      <c r="Z22">
        <f>HYPERLINK("https://klasma.github.io/Logging_1421/knärot/A 5617-2024 karta knärot.png", "A 5617-2024")</f>
        <v/>
      </c>
      <c r="AA22">
        <f>HYPERLINK("https://klasma.github.io/Logging_1421/klagomål/A 5617-2024 FSC-klagomål.docx", "A 5617-2024")</f>
        <v/>
      </c>
      <c r="AB22">
        <f>HYPERLINK("https://klasma.github.io/Logging_1421/klagomålsmail/A 5617-2024 FSC-klagomål mail.docx", "A 5617-2024")</f>
        <v/>
      </c>
      <c r="AC22">
        <f>HYPERLINK("https://klasma.github.io/Logging_1421/tillsyn/A 5617-2024 tillsynsbegäran.docx", "A 5617-2024")</f>
        <v/>
      </c>
      <c r="AD22">
        <f>HYPERLINK("https://klasma.github.io/Logging_1421/tillsynsmail/A 5617-2024 tillsynsbegäran mail.docx", "A 5617-2024")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46230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46230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46230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46230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46230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46230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46230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46230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46230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46230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46230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46230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46230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46230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46230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46230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46230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46230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46230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46230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46230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46230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46230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46230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46230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46230</v>
      </c>
      <c r="F48" t="inlineStr">
        <is>
          <t>VÄSTRA GÖTALANDS LÄN</t>
        </is>
      </c>
      <c r="G48" t="inlineStr">
        <is>
          <t>ORUST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46230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46230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46230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46230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45045</v>
      </c>
      <c r="E53" s="1" t="n">
        <v>46230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46230</v>
      </c>
      <c r="F54" t="inlineStr">
        <is>
          <t>VÄSTRA GÖTALANDS LÄN</t>
        </is>
      </c>
      <c r="G54" t="inlineStr">
        <is>
          <t>ORUST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46230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46230</v>
      </c>
      <c r="F56" t="inlineStr">
        <is>
          <t>VÄSTRA GÖTALANDS LÄN</t>
        </is>
      </c>
      <c r="G56" t="inlineStr">
        <is>
          <t>ORUST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45491</v>
      </c>
      <c r="E57" s="1" t="n">
        <v>46230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46230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71890-2021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44543</v>
      </c>
      <c r="E59" s="1" t="n">
        <v>46230</v>
      </c>
      <c r="F59" t="inlineStr">
        <is>
          <t>VÄSTRA GÖTALANDS LÄN</t>
        </is>
      </c>
      <c r="G59" t="inlineStr">
        <is>
          <t>ORUST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45343</v>
      </c>
      <c r="E60" s="1" t="n">
        <v>46230</v>
      </c>
      <c r="F60" t="inlineStr">
        <is>
          <t>VÄSTRA GÖTALANDS LÄN</t>
        </is>
      </c>
      <c r="G60" t="inlineStr">
        <is>
          <t>ORUST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45005</v>
      </c>
      <c r="E61" s="1" t="n">
        <v>46230</v>
      </c>
      <c r="F61" t="inlineStr">
        <is>
          <t>VÄSTRA GÖTALANDS LÄN</t>
        </is>
      </c>
      <c r="G61" t="inlineStr">
        <is>
          <t>ORUST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44872</v>
      </c>
      <c r="E62" s="1" t="n">
        <v>46230</v>
      </c>
      <c r="F62" t="inlineStr">
        <is>
          <t>VÄSTRA GÖTALANDS LÄN</t>
        </is>
      </c>
      <c r="G62" t="inlineStr">
        <is>
          <t>ORUST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45467</v>
      </c>
      <c r="E63" s="1" t="n">
        <v>46230</v>
      </c>
      <c r="F63" t="inlineStr">
        <is>
          <t>VÄSTRA GÖTALANDS LÄN</t>
        </is>
      </c>
      <c r="G63" t="inlineStr">
        <is>
          <t>ORUST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45601</v>
      </c>
      <c r="E64" s="1" t="n">
        <v>46230</v>
      </c>
      <c r="F64" t="inlineStr">
        <is>
          <t>VÄSTRA GÖTALANDS LÄN</t>
        </is>
      </c>
      <c r="G64" t="inlineStr">
        <is>
          <t>ORUST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44453</v>
      </c>
      <c r="E65" s="1" t="n">
        <v>46230</v>
      </c>
      <c r="F65" t="inlineStr">
        <is>
          <t>VÄSTRA GÖTALANDS LÄN</t>
        </is>
      </c>
      <c r="G65" t="inlineStr">
        <is>
          <t>ORUST</t>
        </is>
      </c>
      <c r="H65" t="inlineStr">
        <is>
          <t>Kommuner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45667</v>
      </c>
      <c r="E66" s="1" t="n">
        <v>46230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62516-2022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44924</v>
      </c>
      <c r="E67" s="1" t="n">
        <v>46230</v>
      </c>
      <c r="F67" t="inlineStr">
        <is>
          <t>VÄSTRA GÖTALANDS LÄN</t>
        </is>
      </c>
      <c r="G67" t="inlineStr">
        <is>
          <t>ORUST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46230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46230</v>
      </c>
      <c r="F69" t="inlineStr">
        <is>
          <t>VÄSTRA GÖTALANDS LÄN</t>
        </is>
      </c>
      <c r="G69" t="inlineStr">
        <is>
          <t>ORUST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41881-2025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46230</v>
      </c>
      <c r="F70" t="inlineStr">
        <is>
          <t>VÄSTRA GÖTALANDS LÄN</t>
        </is>
      </c>
      <c r="G70" t="inlineStr">
        <is>
          <t>ORUST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42457-2025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46230</v>
      </c>
      <c r="F71" t="inlineStr">
        <is>
          <t>VÄSTRA GÖTALANDS LÄN</t>
        </is>
      </c>
      <c r="G71" t="inlineStr">
        <is>
          <t>ORUST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46230</v>
      </c>
      <c r="F72" t="inlineStr">
        <is>
          <t>VÄSTRA GÖTALANDS LÄN</t>
        </is>
      </c>
      <c r="G72" t="inlineStr">
        <is>
          <t>ORUST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45847</v>
      </c>
      <c r="E73" s="1" t="n">
        <v>46230</v>
      </c>
      <c r="F73" t="inlineStr">
        <is>
          <t>VÄSTRA GÖTALANDS LÄN</t>
        </is>
      </c>
      <c r="G73" t="inlineStr">
        <is>
          <t>ORUST</t>
        </is>
      </c>
      <c r="I73" t="n">
        <v>7.4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45336</v>
      </c>
      <c r="E74" s="1" t="n">
        <v>46230</v>
      </c>
      <c r="F74" t="inlineStr">
        <is>
          <t>VÄSTRA GÖTALANDS LÄN</t>
        </is>
      </c>
      <c r="G74" t="inlineStr">
        <is>
          <t>ORUST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45343</v>
      </c>
      <c r="E75" s="1" t="n">
        <v>46230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46230</v>
      </c>
      <c r="F76" t="inlineStr">
        <is>
          <t>VÄSTRA GÖTALANDS LÄN</t>
        </is>
      </c>
      <c r="G76" t="inlineStr">
        <is>
          <t>ORUST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40328-2025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46230</v>
      </c>
      <c r="F77" t="inlineStr">
        <is>
          <t>VÄSTRA GÖTALANDS LÄN</t>
        </is>
      </c>
      <c r="G77" t="inlineStr">
        <is>
          <t>ORUST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46230</v>
      </c>
      <c r="F78" t="inlineStr">
        <is>
          <t>VÄSTRA GÖTALANDS LÄN</t>
        </is>
      </c>
      <c r="G78" t="inlineStr">
        <is>
          <t>ORUST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56496-2021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46230</v>
      </c>
      <c r="F79" t="inlineStr">
        <is>
          <t>VÄSTRA GÖTALANDS LÄN</t>
        </is>
      </c>
      <c r="G79" t="inlineStr">
        <is>
          <t>ORUST</t>
        </is>
      </c>
      <c r="I79" t="n">
        <v>10.3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46230</v>
      </c>
      <c r="F80" t="inlineStr">
        <is>
          <t>VÄSTRA GÖTALANDS LÄN</t>
        </is>
      </c>
      <c r="G80" t="inlineStr">
        <is>
          <t>ORUST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46230</v>
      </c>
      <c r="F81" t="inlineStr">
        <is>
          <t>VÄSTRA GÖTALANDS LÄN</t>
        </is>
      </c>
      <c r="G81" t="inlineStr">
        <is>
          <t>ORUST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68727-2021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46230</v>
      </c>
      <c r="F82" t="inlineStr">
        <is>
          <t>VÄSTRA GÖTALANDS LÄN</t>
        </is>
      </c>
      <c r="G82" t="inlineStr">
        <is>
          <t>ORUST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46230</v>
      </c>
      <c r="F83" t="inlineStr">
        <is>
          <t>VÄSTRA GÖTALANDS LÄN</t>
        </is>
      </c>
      <c r="G83" t="inlineStr">
        <is>
          <t>ORUST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46230</v>
      </c>
      <c r="F84" t="inlineStr">
        <is>
          <t>VÄSTRA GÖTALANDS LÄN</t>
        </is>
      </c>
      <c r="G84" t="inlineStr">
        <is>
          <t>ORUST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44792</v>
      </c>
      <c r="E85" s="1" t="n">
        <v>46230</v>
      </c>
      <c r="F85" t="inlineStr">
        <is>
          <t>VÄSTRA GÖTALANDS LÄN</t>
        </is>
      </c>
      <c r="G85" t="inlineStr">
        <is>
          <t>ORUST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46230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46230</v>
      </c>
      <c r="F87" t="inlineStr">
        <is>
          <t>VÄSTRA GÖTALANDS LÄN</t>
        </is>
      </c>
      <c r="G87" t="inlineStr">
        <is>
          <t>ORUST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46230</v>
      </c>
      <c r="F88" t="inlineStr">
        <is>
          <t>VÄSTRA GÖTALANDS LÄN</t>
        </is>
      </c>
      <c r="G88" t="inlineStr">
        <is>
          <t>ORUST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46230</v>
      </c>
      <c r="F89" t="inlineStr">
        <is>
          <t>VÄSTRA GÖTALANDS LÄN</t>
        </is>
      </c>
      <c r="G89" t="inlineStr">
        <is>
          <t>ORUST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45005</v>
      </c>
      <c r="E90" s="1" t="n">
        <v>46230</v>
      </c>
      <c r="F90" t="inlineStr">
        <is>
          <t>VÄSTRA GÖTALANDS LÄN</t>
        </is>
      </c>
      <c r="G90" t="inlineStr">
        <is>
          <t>ORUST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37130-2024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46230</v>
      </c>
      <c r="F91" t="inlineStr">
        <is>
          <t>VÄSTRA GÖTALANDS LÄN</t>
        </is>
      </c>
      <c r="G91" t="inlineStr">
        <is>
          <t>ORUST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45641</v>
      </c>
      <c r="E92" s="1" t="n">
        <v>46230</v>
      </c>
      <c r="F92" t="inlineStr">
        <is>
          <t>VÄSTRA GÖTALANDS LÄN</t>
        </is>
      </c>
      <c r="G92" t="inlineStr">
        <is>
          <t>ORUST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45181</v>
      </c>
      <c r="E93" s="1" t="n">
        <v>46230</v>
      </c>
      <c r="F93" t="inlineStr">
        <is>
          <t>VÄSTRA GÖTALANDS LÄN</t>
        </is>
      </c>
      <c r="G93" t="inlineStr">
        <is>
          <t>ORUST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45601</v>
      </c>
      <c r="E94" s="1" t="n">
        <v>46230</v>
      </c>
      <c r="F94" t="inlineStr">
        <is>
          <t>VÄSTRA GÖTALANDS LÄN</t>
        </is>
      </c>
      <c r="G94" t="inlineStr">
        <is>
          <t>ORUST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20131-2025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45772</v>
      </c>
      <c r="E95" s="1" t="n">
        <v>46230</v>
      </c>
      <c r="F95" t="inlineStr">
        <is>
          <t>VÄSTRA GÖTALANDS LÄN</t>
        </is>
      </c>
      <c r="G95" t="inlineStr">
        <is>
          <t>ORUST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45692</v>
      </c>
      <c r="E96" s="1" t="n">
        <v>46230</v>
      </c>
      <c r="F96" t="inlineStr">
        <is>
          <t>VÄSTRA GÖTALANDS LÄN</t>
        </is>
      </c>
      <c r="G96" t="inlineStr">
        <is>
          <t>ORUST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46230</v>
      </c>
      <c r="F97" t="inlineStr">
        <is>
          <t>VÄSTRA GÖTALANDS LÄN</t>
        </is>
      </c>
      <c r="G97" t="inlineStr">
        <is>
          <t>ORUST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46230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46230</v>
      </c>
      <c r="F99" t="inlineStr">
        <is>
          <t>VÄSTRA GÖTALANDS LÄN</t>
        </is>
      </c>
      <c r="G99" t="inlineStr">
        <is>
          <t>ORUST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36404-2024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45535</v>
      </c>
      <c r="E100" s="1" t="n">
        <v>46230</v>
      </c>
      <c r="F100" t="inlineStr">
        <is>
          <t>VÄSTRA GÖTALANDS LÄN</t>
        </is>
      </c>
      <c r="G100" t="inlineStr">
        <is>
          <t>ORUST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45992</v>
      </c>
      <c r="E101" s="1" t="n">
        <v>46230</v>
      </c>
      <c r="F101" t="inlineStr">
        <is>
          <t>VÄSTRA GÖTALANDS LÄN</t>
        </is>
      </c>
      <c r="G101" t="inlineStr">
        <is>
          <t>ORUST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46230</v>
      </c>
      <c r="F102" t="inlineStr">
        <is>
          <t>VÄSTRA GÖTALANDS LÄN</t>
        </is>
      </c>
      <c r="G102" t="inlineStr">
        <is>
          <t>ORUST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46230</v>
      </c>
      <c r="F103" t="inlineStr">
        <is>
          <t>VÄSTRA GÖTALANDS LÄN</t>
        </is>
      </c>
      <c r="G103" t="inlineStr">
        <is>
          <t>ORUST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44862</v>
      </c>
      <c r="E104" s="1" t="n">
        <v>46230</v>
      </c>
      <c r="F104" t="inlineStr">
        <is>
          <t>VÄSTRA GÖTALANDS LÄN</t>
        </is>
      </c>
      <c r="G104" t="inlineStr">
        <is>
          <t>ORUST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45396</v>
      </c>
      <c r="E105" s="1" t="n">
        <v>46230</v>
      </c>
      <c r="F105" t="inlineStr">
        <is>
          <t>VÄSTRA GÖTALANDS LÄN</t>
        </is>
      </c>
      <c r="G105" t="inlineStr">
        <is>
          <t>ORUST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46230</v>
      </c>
      <c r="F106" t="inlineStr">
        <is>
          <t>VÄSTRA GÖTALANDS LÄN</t>
        </is>
      </c>
      <c r="G106" t="inlineStr">
        <is>
          <t>ORUST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46230</v>
      </c>
      <c r="F107" t="inlineStr">
        <is>
          <t>VÄSTRA GÖTALANDS LÄN</t>
        </is>
      </c>
      <c r="G107" t="inlineStr">
        <is>
          <t>ORUST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46230</v>
      </c>
      <c r="F108" t="inlineStr">
        <is>
          <t>VÄSTRA GÖTALANDS LÄN</t>
        </is>
      </c>
      <c r="G108" t="inlineStr">
        <is>
          <t>ORUST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46230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46230</v>
      </c>
      <c r="F110" t="inlineStr">
        <is>
          <t>VÄSTRA GÖTALANDS LÄN</t>
        </is>
      </c>
      <c r="G110" t="inlineStr">
        <is>
          <t>ORUST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46167</v>
      </c>
      <c r="E111" s="1" t="n">
        <v>46230</v>
      </c>
      <c r="F111" t="inlineStr">
        <is>
          <t>VÄSTRA GÖTALANDS LÄN</t>
        </is>
      </c>
      <c r="G111" t="inlineStr">
        <is>
          <t>ORUST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6739-2026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46230</v>
      </c>
      <c r="F112" t="inlineStr">
        <is>
          <t>VÄSTRA GÖTALANDS LÄN</t>
        </is>
      </c>
      <c r="G112" t="inlineStr">
        <is>
          <t>ORUST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46065</v>
      </c>
      <c r="E113" s="1" t="n">
        <v>46230</v>
      </c>
      <c r="F113" t="inlineStr">
        <is>
          <t>VÄSTRA GÖTALANDS LÄN</t>
        </is>
      </c>
      <c r="G113" t="inlineStr">
        <is>
          <t>ORUST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45058</v>
      </c>
      <c r="E114" s="1" t="n">
        <v>46230</v>
      </c>
      <c r="F114" t="inlineStr">
        <is>
          <t>VÄSTRA GÖTALANDS LÄN</t>
        </is>
      </c>
      <c r="G114" t="inlineStr">
        <is>
          <t>ORUST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9194-2026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46230</v>
      </c>
      <c r="F115" t="inlineStr">
        <is>
          <t>VÄSTRA GÖTALANDS LÄN</t>
        </is>
      </c>
      <c r="G115" t="inlineStr">
        <is>
          <t>ORUST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46230</v>
      </c>
      <c r="F116" t="inlineStr">
        <is>
          <t>VÄSTRA GÖTALANDS LÄN</t>
        </is>
      </c>
      <c r="G116" t="inlineStr">
        <is>
          <t>ORUST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46075</v>
      </c>
      <c r="E117" s="1" t="n">
        <v>46230</v>
      </c>
      <c r="F117" t="inlineStr">
        <is>
          <t>VÄSTRA GÖTALANDS LÄN</t>
        </is>
      </c>
      <c r="G117" t="inlineStr">
        <is>
          <t>ORUST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46230</v>
      </c>
      <c r="F118" t="inlineStr">
        <is>
          <t>VÄSTRA GÖTALANDS LÄN</t>
        </is>
      </c>
      <c r="G118" t="inlineStr">
        <is>
          <t>ORUST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46086</v>
      </c>
      <c r="E119" s="1" t="n">
        <v>46230</v>
      </c>
      <c r="F119" t="inlineStr">
        <is>
          <t>VÄSTRA GÖTALANDS LÄN</t>
        </is>
      </c>
      <c r="G119" t="inlineStr">
        <is>
          <t>ORUST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46230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46230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45339</v>
      </c>
      <c r="E122" s="1" t="n">
        <v>46230</v>
      </c>
      <c r="F122" t="inlineStr">
        <is>
          <t>VÄSTRA GÖTALANDS LÄN</t>
        </is>
      </c>
      <c r="G122" t="inlineStr">
        <is>
          <t>ORUST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45088-2021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46230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49617-2023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46230</v>
      </c>
      <c r="F124" t="inlineStr">
        <is>
          <t>VÄSTRA GÖTALANDS LÄN</t>
        </is>
      </c>
      <c r="G124" t="inlineStr">
        <is>
          <t>ORUST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25123-2026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46230</v>
      </c>
      <c r="F125" t="inlineStr">
        <is>
          <t>VÄSTRA GÖTALANDS LÄN</t>
        </is>
      </c>
      <c r="G125" t="inlineStr">
        <is>
          <t>ORUST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46175</v>
      </c>
      <c r="E126" s="1" t="n">
        <v>46230</v>
      </c>
      <c r="F126" t="inlineStr">
        <is>
          <t>VÄSTRA GÖTALANDS LÄN</t>
        </is>
      </c>
      <c r="G126" t="inlineStr">
        <is>
          <t>ORUST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46230</v>
      </c>
      <c r="F127" t="inlineStr">
        <is>
          <t>VÄSTRA GÖTALANDS LÄN</t>
        </is>
      </c>
      <c r="G127" t="inlineStr">
        <is>
          <t>ORUST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46120</v>
      </c>
      <c r="E128" s="1" t="n">
        <v>46230</v>
      </c>
      <c r="F128" t="inlineStr">
        <is>
          <t>VÄSTRA GÖTALANDS LÄN</t>
        </is>
      </c>
      <c r="G128" t="inlineStr">
        <is>
          <t>ORUST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46230</v>
      </c>
      <c r="F129" t="inlineStr">
        <is>
          <t>VÄSTRA GÖTALANDS LÄN</t>
        </is>
      </c>
      <c r="G129" t="inlineStr">
        <is>
          <t>ORUST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46230</v>
      </c>
      <c r="F130" t="inlineStr">
        <is>
          <t>VÄSTRA GÖTALANDS LÄN</t>
        </is>
      </c>
      <c r="G130" t="inlineStr">
        <is>
          <t>ORUST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46127</v>
      </c>
      <c r="E131" s="1" t="n">
        <v>46230</v>
      </c>
      <c r="F131" t="inlineStr">
        <is>
          <t>VÄSTRA GÖTALANDS LÄN</t>
        </is>
      </c>
      <c r="G131" t="inlineStr">
        <is>
          <t>ORUST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46230</v>
      </c>
      <c r="F132" t="inlineStr">
        <is>
          <t>VÄSTRA GÖTALANDS LÄN</t>
        </is>
      </c>
      <c r="G132" t="inlineStr">
        <is>
          <t>ORUST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45523</v>
      </c>
      <c r="E133" s="1" t="n">
        <v>46230</v>
      </c>
      <c r="F133" t="inlineStr">
        <is>
          <t>VÄSTRA GÖTALANDS LÄN</t>
        </is>
      </c>
      <c r="G133" t="inlineStr">
        <is>
          <t>ORUST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46213</v>
      </c>
      <c r="E134" s="1" t="n">
        <v>46230</v>
      </c>
      <c r="F134" t="inlineStr">
        <is>
          <t>VÄSTRA GÖTALANDS LÄN</t>
        </is>
      </c>
      <c r="G134" t="inlineStr">
        <is>
          <t>ORUST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44655</v>
      </c>
      <c r="E135" s="1" t="n">
        <v>46230</v>
      </c>
      <c r="F135" t="inlineStr">
        <is>
          <t>VÄSTRA GÖTALANDS LÄN</t>
        </is>
      </c>
      <c r="G135" t="inlineStr">
        <is>
          <t>ORUST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46230</v>
      </c>
      <c r="F136" t="inlineStr">
        <is>
          <t>VÄSTRA GÖTALANDS LÄN</t>
        </is>
      </c>
      <c r="G136" t="inlineStr">
        <is>
          <t>ORUST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45476</v>
      </c>
      <c r="E137" s="1" t="n">
        <v>46230</v>
      </c>
      <c r="F137" t="inlineStr">
        <is>
          <t>VÄSTRA GÖTALANDS LÄN</t>
        </is>
      </c>
      <c r="G137" t="inlineStr">
        <is>
          <t>ORUST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63626-2023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46230</v>
      </c>
      <c r="F138" t="inlineStr">
        <is>
          <t>VÄSTRA GÖTALANDS LÄN</t>
        </is>
      </c>
      <c r="G138" t="inlineStr">
        <is>
          <t>ORUST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46230</v>
      </c>
      <c r="F139" t="inlineStr">
        <is>
          <t>VÄSTRA GÖTALANDS LÄN</t>
        </is>
      </c>
      <c r="G139" t="inlineStr">
        <is>
          <t>ORUST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46230</v>
      </c>
      <c r="F140" t="inlineStr">
        <is>
          <t>VÄSTRA GÖTALANDS LÄN</t>
        </is>
      </c>
      <c r="G140" t="inlineStr">
        <is>
          <t>ORUST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46230</v>
      </c>
      <c r="F141" t="inlineStr">
        <is>
          <t>VÄSTRA GÖTALANDS LÄN</t>
        </is>
      </c>
      <c r="G141" t="inlineStr">
        <is>
          <t>ORUST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44919</v>
      </c>
      <c r="E142" s="1" t="n">
        <v>46230</v>
      </c>
      <c r="F142" t="inlineStr">
        <is>
          <t>VÄSTRA GÖTALANDS LÄN</t>
        </is>
      </c>
      <c r="G142" t="inlineStr">
        <is>
          <t>ORUST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49134-2021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44453</v>
      </c>
      <c r="E143" s="1" t="n">
        <v>46230</v>
      </c>
      <c r="F143" t="inlineStr">
        <is>
          <t>VÄSTRA GÖTALANDS LÄN</t>
        </is>
      </c>
      <c r="G143" t="inlineStr">
        <is>
          <t>ORUST</t>
        </is>
      </c>
      <c r="H143" t="inlineStr">
        <is>
          <t>Kommuner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44899</v>
      </c>
      <c r="E144" s="1" t="n">
        <v>46230</v>
      </c>
      <c r="F144" t="inlineStr">
        <is>
          <t>VÄSTRA GÖTALANDS LÄN</t>
        </is>
      </c>
      <c r="G144" t="inlineStr">
        <is>
          <t>ORUST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45014</v>
      </c>
      <c r="E145" s="1" t="n">
        <v>46230</v>
      </c>
      <c r="F145" t="inlineStr">
        <is>
          <t>VÄSTRA GÖTALANDS LÄN</t>
        </is>
      </c>
      <c r="G145" t="inlineStr">
        <is>
          <t>ORUST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45313</v>
      </c>
      <c r="E146" s="1" t="n">
        <v>46230</v>
      </c>
      <c r="F146" t="inlineStr">
        <is>
          <t>VÄSTRA GÖTALANDS LÄN</t>
        </is>
      </c>
      <c r="G146" t="inlineStr">
        <is>
          <t>ORUST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45130</v>
      </c>
      <c r="E147" s="1" t="n">
        <v>46230</v>
      </c>
      <c r="F147" t="inlineStr">
        <is>
          <t>VÄSTRA GÖTALANDS LÄN</t>
        </is>
      </c>
      <c r="G147" t="inlineStr">
        <is>
          <t>ORUST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46230</v>
      </c>
      <c r="F148" t="inlineStr">
        <is>
          <t>VÄSTRA GÖTALANDS LÄN</t>
        </is>
      </c>
      <c r="G148" t="inlineStr">
        <is>
          <t>ORUST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45742</v>
      </c>
      <c r="E149" s="1" t="n">
        <v>46230</v>
      </c>
      <c r="F149" t="inlineStr">
        <is>
          <t>VÄSTRA GÖTALANDS LÄN</t>
        </is>
      </c>
      <c r="G149" t="inlineStr">
        <is>
          <t>ORUST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45718</v>
      </c>
      <c r="E150" s="1" t="n">
        <v>46230</v>
      </c>
      <c r="F150" t="inlineStr">
        <is>
          <t>VÄSTRA GÖTALANDS LÄN</t>
        </is>
      </c>
      <c r="G150" t="inlineStr">
        <is>
          <t>ORUST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46230</v>
      </c>
      <c r="F151" t="inlineStr">
        <is>
          <t>VÄSTRA GÖTALANDS LÄN</t>
        </is>
      </c>
      <c r="G151" t="inlineStr">
        <is>
          <t>ORUST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46230</v>
      </c>
      <c r="F152" t="inlineStr">
        <is>
          <t>VÄSTRA GÖTALANDS LÄN</t>
        </is>
      </c>
      <c r="G152" t="inlineStr">
        <is>
          <t>ORUST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46230</v>
      </c>
      <c r="F153" t="inlineStr">
        <is>
          <t>VÄSTRA GÖTALANDS LÄN</t>
        </is>
      </c>
      <c r="G153" t="inlineStr">
        <is>
          <t>ORUST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46230</v>
      </c>
      <c r="F154" t="inlineStr">
        <is>
          <t>VÄSTRA GÖTALANDS LÄN</t>
        </is>
      </c>
      <c r="G154" t="inlineStr">
        <is>
          <t>ORUST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46230</v>
      </c>
      <c r="F155" t="inlineStr">
        <is>
          <t>VÄSTRA GÖTALANDS LÄN</t>
        </is>
      </c>
      <c r="G155" t="inlineStr">
        <is>
          <t>ORUST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46230</v>
      </c>
      <c r="F156" t="inlineStr">
        <is>
          <t>VÄSTRA GÖTALANDS LÄN</t>
        </is>
      </c>
      <c r="G156" t="inlineStr">
        <is>
          <t>ORUST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45813</v>
      </c>
      <c r="E157" s="1" t="n">
        <v>46230</v>
      </c>
      <c r="F157" t="inlineStr">
        <is>
          <t>VÄSTRA GÖTALANDS LÄN</t>
        </is>
      </c>
      <c r="G157" t="inlineStr">
        <is>
          <t>ORUST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45616</v>
      </c>
      <c r="E158" s="1" t="n">
        <v>46230</v>
      </c>
      <c r="F158" t="inlineStr">
        <is>
          <t>VÄSTRA GÖTALANDS LÄN</t>
        </is>
      </c>
      <c r="G158" t="inlineStr">
        <is>
          <t>ORUST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46230</v>
      </c>
      <c r="F159" t="inlineStr">
        <is>
          <t>VÄSTRA GÖTALANDS LÄN</t>
        </is>
      </c>
      <c r="G159" t="inlineStr">
        <is>
          <t>ORUST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46230</v>
      </c>
      <c r="F160" t="inlineStr">
        <is>
          <t>VÄSTRA GÖTALANDS LÄN</t>
        </is>
      </c>
      <c r="G160" t="inlineStr">
        <is>
          <t>ORUST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46230</v>
      </c>
      <c r="F161" t="inlineStr">
        <is>
          <t>VÄSTRA GÖTALANDS LÄN</t>
        </is>
      </c>
      <c r="G161" t="inlineStr">
        <is>
          <t>ORUST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46230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45872</v>
      </c>
      <c r="E163" s="1" t="n">
        <v>46230</v>
      </c>
      <c r="F163" t="inlineStr">
        <is>
          <t>VÄSTRA GÖTALANDS LÄN</t>
        </is>
      </c>
      <c r="G163" t="inlineStr">
        <is>
          <t>ORUST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46230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2026-07-27T01:49:41Z</dcterms:created>
  <dcterms:modified xmlns:dcterms="http://purl.org/dc/terms/" xmlns:xsi="http://www.w3.org/2001/XMLSchema-instance" xsi:type="dcterms:W3CDTF">2026-07-27T01:49:41Z</dcterms:modified>
</cp:coreProperties>
</file>