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46094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46094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46094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46094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46094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46094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46094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46094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46094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46272-2024</t>
        </is>
      </c>
      <c r="B11" s="1" t="n">
        <v>45581</v>
      </c>
      <c r="C11" s="1" t="n">
        <v>46094</v>
      </c>
      <c r="D11" t="inlineStr">
        <is>
          <t>VÄSTRA GÖTALANDS LÄN</t>
        </is>
      </c>
      <c r="E11" t="inlineStr">
        <is>
          <t>ORUST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HYPERLINK("https://klasma.github.io/Logging_1421/artfynd/A 46272-2024 artfynd.xlsx", "A 46272-2024")</f>
        <v/>
      </c>
      <c r="T11">
        <f>HYPERLINK("https://klasma.github.io/Logging_1421/kartor/A 46272-2024 karta.png", "A 46272-2024")</f>
        <v/>
      </c>
      <c r="V11">
        <f>HYPERLINK("https://klasma.github.io/Logging_1421/klagomål/A 46272-2024 FSC-klagomål.docx", "A 46272-2024")</f>
        <v/>
      </c>
      <c r="W11">
        <f>HYPERLINK("https://klasma.github.io/Logging_1421/klagomålsmail/A 46272-2024 FSC-klagomål mail.docx", "A 46272-2024")</f>
        <v/>
      </c>
      <c r="X11">
        <f>HYPERLINK("https://klasma.github.io/Logging_1421/tillsyn/A 46272-2024 tillsynsbegäran.docx", "A 46272-2024")</f>
        <v/>
      </c>
      <c r="Y11">
        <f>HYPERLINK("https://klasma.github.io/Logging_1421/tillsynsmail/A 46272-2024 tillsynsbegäran mail.docx", "A 46272-2024")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46094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46094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46094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46094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46094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46094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56035-2025</t>
        </is>
      </c>
      <c r="B18" s="1" t="n">
        <v>45973</v>
      </c>
      <c r="C18" s="1" t="n">
        <v>46094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46094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46094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46094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46094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46094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46094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46094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46094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46094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46094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46094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46094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46094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46094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46094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19784-2022</t>
        </is>
      </c>
      <c r="B34" s="1" t="n">
        <v>44694.73462962963</v>
      </c>
      <c r="C34" s="1" t="n">
        <v>46094</v>
      </c>
      <c r="D34" t="inlineStr">
        <is>
          <t>VÄSTRA GÖTALANDS LÄN</t>
        </is>
      </c>
      <c r="E34" t="inlineStr">
        <is>
          <t>ORUST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19785-2022</t>
        </is>
      </c>
      <c r="B35" s="1" t="n">
        <v>44694</v>
      </c>
      <c r="C35" s="1" t="n">
        <v>46094</v>
      </c>
      <c r="D35" t="inlineStr">
        <is>
          <t>VÄSTRA GÖTALANDS LÄN</t>
        </is>
      </c>
      <c r="E35" t="inlineStr">
        <is>
          <t>ORUST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52012-2022</t>
        </is>
      </c>
      <c r="B36" s="1" t="n">
        <v>44872.93511574074</v>
      </c>
      <c r="C36" s="1" t="n">
        <v>46094</v>
      </c>
      <c r="D36" t="inlineStr">
        <is>
          <t>VÄSTRA GÖTALANDS LÄN</t>
        </is>
      </c>
      <c r="E36" t="inlineStr">
        <is>
          <t>ORUST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46094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46094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46094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22255-2021</t>
        </is>
      </c>
      <c r="B40" s="1" t="n">
        <v>44326</v>
      </c>
      <c r="C40" s="1" t="n">
        <v>46094</v>
      </c>
      <c r="D40" t="inlineStr">
        <is>
          <t>VÄSTRA GÖTALANDS LÄN</t>
        </is>
      </c>
      <c r="E40" t="inlineStr">
        <is>
          <t>ORUST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46094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46094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62369-2023</t>
        </is>
      </c>
      <c r="B43" s="1" t="n">
        <v>45268.30483796296</v>
      </c>
      <c r="C43" s="1" t="n">
        <v>46094</v>
      </c>
      <c r="D43" t="inlineStr">
        <is>
          <t>VÄSTRA GÖTALANDS LÄN</t>
        </is>
      </c>
      <c r="E43" t="inlineStr">
        <is>
          <t>ORUST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46094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34217-2022</t>
        </is>
      </c>
      <c r="B45" s="1" t="n">
        <v>44791</v>
      </c>
      <c r="C45" s="1" t="n">
        <v>46094</v>
      </c>
      <c r="D45" t="inlineStr">
        <is>
          <t>VÄSTRA GÖTALANDS LÄN</t>
        </is>
      </c>
      <c r="E45" t="inlineStr">
        <is>
          <t>ORUST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57877-2022</t>
        </is>
      </c>
      <c r="B46" s="1" t="n">
        <v>44899.8749537037</v>
      </c>
      <c r="C46" s="1" t="n">
        <v>46094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49822-2022</t>
        </is>
      </c>
      <c r="B47" s="1" t="n">
        <v>44862</v>
      </c>
      <c r="C47" s="1" t="n">
        <v>46094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46094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46094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46094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19005-2023</t>
        </is>
      </c>
      <c r="B51" s="1" t="n">
        <v>45045.60177083333</v>
      </c>
      <c r="C51" s="1" t="n">
        <v>46094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46094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73292-2021</t>
        </is>
      </c>
      <c r="B53" s="1" t="n">
        <v>44550</v>
      </c>
      <c r="C53" s="1" t="n">
        <v>46094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38322-2023</t>
        </is>
      </c>
      <c r="B54" s="1" t="n">
        <v>45161.73658564815</v>
      </c>
      <c r="C54" s="1" t="n">
        <v>46094</v>
      </c>
      <c r="D54" t="inlineStr">
        <is>
          <t>VÄSTRA GÖTALANDS LÄN</t>
        </is>
      </c>
      <c r="E54" t="inlineStr">
        <is>
          <t>ORUST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13243-2023</t>
        </is>
      </c>
      <c r="B55" s="1" t="n">
        <v>45002</v>
      </c>
      <c r="C55" s="1" t="n">
        <v>46094</v>
      </c>
      <c r="D55" t="inlineStr">
        <is>
          <t>VÄSTRA GÖTALANDS LÄN</t>
        </is>
      </c>
      <c r="E55" t="inlineStr">
        <is>
          <t>ORUST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40743-2024</t>
        </is>
      </c>
      <c r="B56" s="1" t="n">
        <v>45558.45</v>
      </c>
      <c r="C56" s="1" t="n">
        <v>46094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18954-2025</t>
        </is>
      </c>
      <c r="B57" s="1" t="n">
        <v>45764.51478009259</v>
      </c>
      <c r="C57" s="1" t="n">
        <v>46094</v>
      </c>
      <c r="D57" t="inlineStr">
        <is>
          <t>VÄSTRA GÖTALANDS LÄN</t>
        </is>
      </c>
      <c r="E57" t="inlineStr">
        <is>
          <t>ORUST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22959-2025</t>
        </is>
      </c>
      <c r="B58" s="1" t="n">
        <v>45790</v>
      </c>
      <c r="C58" s="1" t="n">
        <v>46094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23258-2025</t>
        </is>
      </c>
      <c r="B59" s="1" t="n">
        <v>45791.53902777778</v>
      </c>
      <c r="C59" s="1" t="n">
        <v>46094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23254-2025</t>
        </is>
      </c>
      <c r="B60" s="1" t="n">
        <v>45791.5340162037</v>
      </c>
      <c r="C60" s="1" t="n">
        <v>46094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14760-2025</t>
        </is>
      </c>
      <c r="B61" s="1" t="n">
        <v>45742</v>
      </c>
      <c r="C61" s="1" t="n">
        <v>46094</v>
      </c>
      <c r="D61" t="inlineStr">
        <is>
          <t>VÄSTRA GÖTALANDS LÄN</t>
        </is>
      </c>
      <c r="E61" t="inlineStr">
        <is>
          <t>ORUST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9937-2025</t>
        </is>
      </c>
      <c r="B62" s="1" t="n">
        <v>45718.64129629629</v>
      </c>
      <c r="C62" s="1" t="n">
        <v>46094</v>
      </c>
      <c r="D62" t="inlineStr">
        <is>
          <t>VÄSTRA GÖTALANDS LÄN</t>
        </is>
      </c>
      <c r="E62" t="inlineStr">
        <is>
          <t>ORUST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23259-2025</t>
        </is>
      </c>
      <c r="B63" s="1" t="n">
        <v>45791.53978009259</v>
      </c>
      <c r="C63" s="1" t="n">
        <v>46094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13521-2025</t>
        </is>
      </c>
      <c r="B64" s="1" t="n">
        <v>45736.48755787037</v>
      </c>
      <c r="C64" s="1" t="n">
        <v>46094</v>
      </c>
      <c r="D64" t="inlineStr">
        <is>
          <t>VÄSTRA GÖTALANDS LÄN</t>
        </is>
      </c>
      <c r="E64" t="inlineStr">
        <is>
          <t>ORUST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13536-2025</t>
        </is>
      </c>
      <c r="B65" s="1" t="n">
        <v>45736.51413194444</v>
      </c>
      <c r="C65" s="1" t="n">
        <v>46094</v>
      </c>
      <c r="D65" t="inlineStr">
        <is>
          <t>VÄSTRA GÖTALANDS LÄN</t>
        </is>
      </c>
      <c r="E65" t="inlineStr">
        <is>
          <t>ORUST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771-2023</t>
        </is>
      </c>
      <c r="B66" s="1" t="n">
        <v>44931</v>
      </c>
      <c r="C66" s="1" t="n">
        <v>46094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55777-2022</t>
        </is>
      </c>
      <c r="B67" s="1" t="n">
        <v>44888.61921296296</v>
      </c>
      <c r="C67" s="1" t="n">
        <v>46094</v>
      </c>
      <c r="D67" t="inlineStr">
        <is>
          <t>VÄSTRA GÖTALANDS LÄN</t>
        </is>
      </c>
      <c r="E67" t="inlineStr">
        <is>
          <t>ORUST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24321-2025</t>
        </is>
      </c>
      <c r="B68" s="1" t="n">
        <v>45797</v>
      </c>
      <c r="C68" s="1" t="n">
        <v>46094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34046-2024</t>
        </is>
      </c>
      <c r="B69" s="1" t="n">
        <v>45523.60449074074</v>
      </c>
      <c r="C69" s="1" t="n">
        <v>46094</v>
      </c>
      <c r="D69" t="inlineStr">
        <is>
          <t>VÄSTRA GÖTALANDS LÄN</t>
        </is>
      </c>
      <c r="E69" t="inlineStr">
        <is>
          <t>ORUST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20819-2023</t>
        </is>
      </c>
      <c r="B70" s="1" t="n">
        <v>45058</v>
      </c>
      <c r="C70" s="1" t="n">
        <v>46094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63419-2023</t>
        </is>
      </c>
      <c r="B71" s="1" t="n">
        <v>45274</v>
      </c>
      <c r="C71" s="1" t="n">
        <v>46094</v>
      </c>
      <c r="D71" t="inlineStr">
        <is>
          <t>VÄSTRA GÖTALANDS LÄN</t>
        </is>
      </c>
      <c r="E71" t="inlineStr">
        <is>
          <t>ORUST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43752-2023</t>
        </is>
      </c>
      <c r="B72" s="1" t="n">
        <v>45187</v>
      </c>
      <c r="C72" s="1" t="n">
        <v>46094</v>
      </c>
      <c r="D72" t="inlineStr">
        <is>
          <t>VÄSTRA GÖTALANDS LÄN</t>
        </is>
      </c>
      <c r="E72" t="inlineStr">
        <is>
          <t>ORUST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11356-2025</t>
        </is>
      </c>
      <c r="B73" s="1" t="n">
        <v>45726.52880787037</v>
      </c>
      <c r="C73" s="1" t="n">
        <v>46094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34354-2023</t>
        </is>
      </c>
      <c r="B74" s="1" t="n">
        <v>45139</v>
      </c>
      <c r="C74" s="1" t="n">
        <v>46094</v>
      </c>
      <c r="D74" t="inlineStr">
        <is>
          <t>VÄSTRA GÖTALANDS LÄN</t>
        </is>
      </c>
      <c r="E74" t="inlineStr">
        <is>
          <t>ORUST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30440-2024</t>
        </is>
      </c>
      <c r="B75" s="1" t="n">
        <v>45491.81488425926</v>
      </c>
      <c r="C75" s="1" t="n">
        <v>46094</v>
      </c>
      <c r="D75" t="inlineStr">
        <is>
          <t>VÄSTRA GÖTALANDS LÄN</t>
        </is>
      </c>
      <c r="E75" t="inlineStr">
        <is>
          <t>ORUST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44754-2024</t>
        </is>
      </c>
      <c r="B76" s="1" t="n">
        <v>45574.61065972222</v>
      </c>
      <c r="C76" s="1" t="n">
        <v>46094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49134-2021</t>
        </is>
      </c>
      <c r="B77" s="1" t="n">
        <v>44453</v>
      </c>
      <c r="C77" s="1" t="n">
        <v>46094</v>
      </c>
      <c r="D77" t="inlineStr">
        <is>
          <t>VÄSTRA GÖTALANDS LÄN</t>
        </is>
      </c>
      <c r="E77" t="inlineStr">
        <is>
          <t>ORUST</t>
        </is>
      </c>
      <c r="F77" t="inlineStr">
        <is>
          <t>Kommuner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49115-2024</t>
        </is>
      </c>
      <c r="B78" s="1" t="n">
        <v>45594.65954861111</v>
      </c>
      <c r="C78" s="1" t="n">
        <v>46094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37000-2023</t>
        </is>
      </c>
      <c r="B79" s="1" t="n">
        <v>45155.26925925926</v>
      </c>
      <c r="C79" s="1" t="n">
        <v>46094</v>
      </c>
      <c r="D79" t="inlineStr">
        <is>
          <t>VÄSTRA GÖTALANDS LÄN</t>
        </is>
      </c>
      <c r="E79" t="inlineStr">
        <is>
          <t>ORUST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44417-2024</t>
        </is>
      </c>
      <c r="B80" s="1" t="n">
        <v>45573.8249537037</v>
      </c>
      <c r="C80" s="1" t="n">
        <v>46094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39219-2025</t>
        </is>
      </c>
      <c r="B81" s="1" t="n">
        <v>45888</v>
      </c>
      <c r="C81" s="1" t="n">
        <v>46094</v>
      </c>
      <c r="D81" t="inlineStr">
        <is>
          <t>VÄSTRA GÖTALANDS LÄN</t>
        </is>
      </c>
      <c r="E81" t="inlineStr">
        <is>
          <t>ORUST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27277-2025</t>
        </is>
      </c>
      <c r="B82" s="1" t="n">
        <v>45812.52674768519</v>
      </c>
      <c r="C82" s="1" t="n">
        <v>46094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27555-2025</t>
        </is>
      </c>
      <c r="B83" s="1" t="n">
        <v>45813.47424768518</v>
      </c>
      <c r="C83" s="1" t="n">
        <v>46094</v>
      </c>
      <c r="D83" t="inlineStr">
        <is>
          <t>VÄSTRA GÖTALANDS LÄN</t>
        </is>
      </c>
      <c r="E83" t="inlineStr">
        <is>
          <t>ORUST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6485-2024</t>
        </is>
      </c>
      <c r="B84" s="1" t="n">
        <v>45339.40619212963</v>
      </c>
      <c r="C84" s="1" t="n">
        <v>46094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54279-2024</t>
        </is>
      </c>
      <c r="B85" s="1" t="n">
        <v>45616.855</v>
      </c>
      <c r="C85" s="1" t="n">
        <v>46094</v>
      </c>
      <c r="D85" t="inlineStr">
        <is>
          <t>VÄSTRA GÖTALANDS LÄN</t>
        </is>
      </c>
      <c r="E85" t="inlineStr">
        <is>
          <t>ORUST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45088-2021</t>
        </is>
      </c>
      <c r="B86" s="1" t="n">
        <v>44439.391875</v>
      </c>
      <c r="C86" s="1" t="n">
        <v>46094</v>
      </c>
      <c r="D86" t="inlineStr">
        <is>
          <t>VÄSTRA GÖTALANDS LÄN</t>
        </is>
      </c>
      <c r="E86" t="inlineStr">
        <is>
          <t>ORUST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49617-2023</t>
        </is>
      </c>
      <c r="B87" s="1" t="n">
        <v>45211</v>
      </c>
      <c r="C87" s="1" t="n">
        <v>46094</v>
      </c>
      <c r="D87" t="inlineStr">
        <is>
          <t>VÄSTRA GÖTALANDS LÄN</t>
        </is>
      </c>
      <c r="E87" t="inlineStr">
        <is>
          <t>ORUST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71890-2021</t>
        </is>
      </c>
      <c r="B88" s="1" t="n">
        <v>44543.78116898148</v>
      </c>
      <c r="C88" s="1" t="n">
        <v>46094</v>
      </c>
      <c r="D88" t="inlineStr">
        <is>
          <t>VÄSTRA GÖTALANDS LÄN</t>
        </is>
      </c>
      <c r="E88" t="inlineStr">
        <is>
          <t>ORUST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6957-2024</t>
        </is>
      </c>
      <c r="B89" s="1" t="n">
        <v>45343.45112268518</v>
      </c>
      <c r="C89" s="1" t="n">
        <v>46094</v>
      </c>
      <c r="D89" t="inlineStr">
        <is>
          <t>VÄSTRA GÖTALANDS LÄN</t>
        </is>
      </c>
      <c r="E89" t="inlineStr">
        <is>
          <t>ORUST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51993-2022</t>
        </is>
      </c>
      <c r="B90" s="1" t="n">
        <v>44872</v>
      </c>
      <c r="C90" s="1" t="n">
        <v>46094</v>
      </c>
      <c r="D90" t="inlineStr">
        <is>
          <t>VÄSTRA GÖTALANDS LÄN</t>
        </is>
      </c>
      <c r="E90" t="inlineStr">
        <is>
          <t>ORUST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40270-2024</t>
        </is>
      </c>
      <c r="B91" s="1" t="n">
        <v>45554.64315972223</v>
      </c>
      <c r="C91" s="1" t="n">
        <v>46094</v>
      </c>
      <c r="D91" t="inlineStr">
        <is>
          <t>VÄSTRA GÖTALANDS LÄN</t>
        </is>
      </c>
      <c r="E91" t="inlineStr">
        <is>
          <t>ORUST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HYPERLINK("https://klasma.github.io/Logging_1421/knärot/A 40270-2024 karta knärot.png", "A 40270-2024")</f>
        <v/>
      </c>
      <c r="V91">
        <f>HYPERLINK("https://klasma.github.io/Logging_1421/klagomål/A 40270-2024 FSC-klagomål.docx", "A 40270-2024")</f>
        <v/>
      </c>
      <c r="W91">
        <f>HYPERLINK("https://klasma.github.io/Logging_1421/klagomålsmail/A 40270-2024 FSC-klagomål mail.docx", "A 40270-2024")</f>
        <v/>
      </c>
      <c r="X91">
        <f>HYPERLINK("https://klasma.github.io/Logging_1421/tillsyn/A 40270-2024 tillsynsbegäran.docx", "A 40270-2024")</f>
        <v/>
      </c>
      <c r="Y91">
        <f>HYPERLINK("https://klasma.github.io/Logging_1421/tillsynsmail/A 40270-2024 tillsynsbegäran mail.docx", "A 40270-2024")</f>
        <v/>
      </c>
    </row>
    <row r="92" ht="15" customHeight="1">
      <c r="A92" t="inlineStr">
        <is>
          <t>A 23682-2024</t>
        </is>
      </c>
      <c r="B92" s="1" t="n">
        <v>45454.62754629629</v>
      </c>
      <c r="C92" s="1" t="n">
        <v>46094</v>
      </c>
      <c r="D92" t="inlineStr">
        <is>
          <t>VÄSTRA GÖTALANDS LÄN</t>
        </is>
      </c>
      <c r="E92" t="inlineStr">
        <is>
          <t>ORUST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13378-2023</t>
        </is>
      </c>
      <c r="B93" s="1" t="n">
        <v>45005.50077546296</v>
      </c>
      <c r="C93" s="1" t="n">
        <v>46094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39206-2024</t>
        </is>
      </c>
      <c r="B94" s="1" t="n">
        <v>45548.81200231481</v>
      </c>
      <c r="C94" s="1" t="n">
        <v>46094</v>
      </c>
      <c r="D94" t="inlineStr">
        <is>
          <t>VÄSTRA GÖTALANDS LÄN</t>
        </is>
      </c>
      <c r="E94" t="inlineStr">
        <is>
          <t>ORUST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31617-2025</t>
        </is>
      </c>
      <c r="B95" s="1" t="n">
        <v>45833</v>
      </c>
      <c r="C95" s="1" t="n">
        <v>46094</v>
      </c>
      <c r="D95" t="inlineStr">
        <is>
          <t>VÄSTRA GÖTALANDS LÄN</t>
        </is>
      </c>
      <c r="E95" t="inlineStr">
        <is>
          <t>ORUST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5715-2024</t>
        </is>
      </c>
      <c r="B96" s="1" t="n">
        <v>45334</v>
      </c>
      <c r="C96" s="1" t="n">
        <v>46094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25925-2024</t>
        </is>
      </c>
      <c r="B97" s="1" t="n">
        <v>45467.6122337963</v>
      </c>
      <c r="C97" s="1" t="n">
        <v>46094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5617-2024</t>
        </is>
      </c>
      <c r="B98" s="1" t="n">
        <v>45334.58319444444</v>
      </c>
      <c r="C98" s="1" t="n">
        <v>46094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HYPERLINK("https://klasma.github.io/Logging_1421/knärot/A 5617-2024 karta knärot.png", "A 5617-2024")</f>
        <v/>
      </c>
      <c r="V98">
        <f>HYPERLINK("https://klasma.github.io/Logging_1421/klagomål/A 5617-2024 FSC-klagomål.docx", "A 5617-2024")</f>
        <v/>
      </c>
      <c r="W98">
        <f>HYPERLINK("https://klasma.github.io/Logging_1421/klagomålsmail/A 5617-2024 FSC-klagomål mail.docx", "A 5617-2024")</f>
        <v/>
      </c>
      <c r="X98">
        <f>HYPERLINK("https://klasma.github.io/Logging_1421/tillsyn/A 5617-2024 tillsynsbegäran.docx", "A 5617-2024")</f>
        <v/>
      </c>
      <c r="Y98">
        <f>HYPERLINK("https://klasma.github.io/Logging_1421/tillsynsmail/A 5617-2024 tillsynsbegäran mail.docx", "A 5617-2024")</f>
        <v/>
      </c>
    </row>
    <row r="99" ht="15" customHeight="1">
      <c r="A99" t="inlineStr">
        <is>
          <t>A 24179-2025</t>
        </is>
      </c>
      <c r="B99" s="1" t="n">
        <v>45796.72856481482</v>
      </c>
      <c r="C99" s="1" t="n">
        <v>46094</v>
      </c>
      <c r="D99" t="inlineStr">
        <is>
          <t>VÄSTRA GÖTALANDS LÄN</t>
        </is>
      </c>
      <c r="E99" t="inlineStr">
        <is>
          <t>ORUST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33300-2025</t>
        </is>
      </c>
      <c r="B100" s="1" t="n">
        <v>45840.93423611111</v>
      </c>
      <c r="C100" s="1" t="n">
        <v>46094</v>
      </c>
      <c r="D100" t="inlineStr">
        <is>
          <t>VÄSTRA GÖTALANDS LÄN</t>
        </is>
      </c>
      <c r="E100" t="inlineStr">
        <is>
          <t>ORUST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33295-2025</t>
        </is>
      </c>
      <c r="B101" s="1" t="n">
        <v>45840.92070601852</v>
      </c>
      <c r="C101" s="1" t="n">
        <v>46094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46094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46094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22452-2021</t>
        </is>
      </c>
      <c r="B104" s="1" t="n">
        <v>44326</v>
      </c>
      <c r="C104" s="1" t="n">
        <v>46094</v>
      </c>
      <c r="D104" t="inlineStr">
        <is>
          <t>VÄSTRA GÖTALANDS LÄN</t>
        </is>
      </c>
      <c r="E104" t="inlineStr">
        <is>
          <t>ORUST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34056-2024</t>
        </is>
      </c>
      <c r="B105" s="1" t="n">
        <v>45523.6125</v>
      </c>
      <c r="C105" s="1" t="n">
        <v>46094</v>
      </c>
      <c r="D105" t="inlineStr">
        <is>
          <t>VÄSTRA GÖTALANDS LÄN</t>
        </is>
      </c>
      <c r="E105" t="inlineStr">
        <is>
          <t>ORUST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34502-2025</t>
        </is>
      </c>
      <c r="B106" s="1" t="n">
        <v>45847.43163194445</v>
      </c>
      <c r="C106" s="1" t="n">
        <v>46094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34500-2025</t>
        </is>
      </c>
      <c r="B107" s="1" t="n">
        <v>45847.43075231482</v>
      </c>
      <c r="C107" s="1" t="n">
        <v>46094</v>
      </c>
      <c r="D107" t="inlineStr">
        <is>
          <t>VÄSTRA GÖTALANDS LÄN</t>
        </is>
      </c>
      <c r="E107" t="inlineStr">
        <is>
          <t>ORUST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43228-2024</t>
        </is>
      </c>
      <c r="B108" s="1" t="n">
        <v>45567.8855787037</v>
      </c>
      <c r="C108" s="1" t="n">
        <v>46094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3750-2022</t>
        </is>
      </c>
      <c r="B109" s="1" t="n">
        <v>44586.71618055556</v>
      </c>
      <c r="C109" s="1" t="n">
        <v>46094</v>
      </c>
      <c r="D109" t="inlineStr">
        <is>
          <t>VÄSTRA GÖTALANDS LÄN</t>
        </is>
      </c>
      <c r="E109" t="inlineStr">
        <is>
          <t>ORUST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40338-2025</t>
        </is>
      </c>
      <c r="B110" s="1" t="n">
        <v>45895</v>
      </c>
      <c r="C110" s="1" t="n">
        <v>46094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37522-2024</t>
        </is>
      </c>
      <c r="B111" s="1" t="n">
        <v>45541</v>
      </c>
      <c r="C111" s="1" t="n">
        <v>46094</v>
      </c>
      <c r="D111" t="inlineStr">
        <is>
          <t>VÄSTRA GÖTALANDS LÄN</t>
        </is>
      </c>
      <c r="E111" t="inlineStr">
        <is>
          <t>ORUST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62516-2022</t>
        </is>
      </c>
      <c r="B112" s="1" t="n">
        <v>44924.61912037037</v>
      </c>
      <c r="C112" s="1" t="n">
        <v>46094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23046-2024</t>
        </is>
      </c>
      <c r="B113" s="1" t="n">
        <v>45450.4240625</v>
      </c>
      <c r="C113" s="1" t="n">
        <v>46094</v>
      </c>
      <c r="D113" t="inlineStr">
        <is>
          <t>VÄSTRA GÖTALANDS LÄN</t>
        </is>
      </c>
      <c r="E113" t="inlineStr">
        <is>
          <t>ORUST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44233-2023</t>
        </is>
      </c>
      <c r="B114" s="1" t="n">
        <v>45183</v>
      </c>
      <c r="C114" s="1" t="n">
        <v>46094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HYPERLINK("https://klasma.github.io/Logging_1421/knärot/A 44233-2023 karta knärot.png", "A 44233-2023")</f>
        <v/>
      </c>
      <c r="V114">
        <f>HYPERLINK("https://klasma.github.io/Logging_1421/klagomål/A 44233-2023 FSC-klagomål.docx", "A 44233-2023")</f>
        <v/>
      </c>
      <c r="W114">
        <f>HYPERLINK("https://klasma.github.io/Logging_1421/klagomålsmail/A 44233-2023 FSC-klagomål mail.docx", "A 44233-2023")</f>
        <v/>
      </c>
      <c r="X114">
        <f>HYPERLINK("https://klasma.github.io/Logging_1421/tillsyn/A 44233-2023 tillsynsbegäran.docx", "A 44233-2023")</f>
        <v/>
      </c>
      <c r="Y114">
        <f>HYPERLINK("https://klasma.github.io/Logging_1421/tillsynsmail/A 44233-2023 tillsynsbegäran mail.docx", "A 44233-2023")</f>
        <v/>
      </c>
    </row>
    <row r="115" ht="15" customHeight="1">
      <c r="A115" t="inlineStr">
        <is>
          <t>A 14547-2022</t>
        </is>
      </c>
      <c r="B115" s="1" t="n">
        <v>44655</v>
      </c>
      <c r="C115" s="1" t="n">
        <v>46094</v>
      </c>
      <c r="D115" t="inlineStr">
        <is>
          <t>VÄSTRA GÖTALANDS LÄN</t>
        </is>
      </c>
      <c r="E115" t="inlineStr">
        <is>
          <t>ORUST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46094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18791-2023</t>
        </is>
      </c>
      <c r="B117" s="1" t="n">
        <v>45044</v>
      </c>
      <c r="C117" s="1" t="n">
        <v>46094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36695-2025</t>
        </is>
      </c>
      <c r="B118" s="1" t="n">
        <v>45872</v>
      </c>
      <c r="C118" s="1" t="n">
        <v>46094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28109-2024</t>
        </is>
      </c>
      <c r="B119" s="1" t="n">
        <v>45476.63284722222</v>
      </c>
      <c r="C119" s="1" t="n">
        <v>46094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36719-2025</t>
        </is>
      </c>
      <c r="B120" s="1" t="n">
        <v>45872</v>
      </c>
      <c r="C120" s="1" t="n">
        <v>46094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5926-2024</t>
        </is>
      </c>
      <c r="B121" s="1" t="n">
        <v>45336</v>
      </c>
      <c r="C121" s="1" t="n">
        <v>46094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6986-2024</t>
        </is>
      </c>
      <c r="B122" s="1" t="n">
        <v>45343.48984953704</v>
      </c>
      <c r="C122" s="1" t="n">
        <v>46094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40328-2025</t>
        </is>
      </c>
      <c r="B123" s="1" t="n">
        <v>45895</v>
      </c>
      <c r="C123" s="1" t="n">
        <v>46094</v>
      </c>
      <c r="D123" t="inlineStr">
        <is>
          <t>VÄSTRA GÖTALANDS LÄN</t>
        </is>
      </c>
      <c r="E123" t="inlineStr">
        <is>
          <t>ORUST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40442-2025</t>
        </is>
      </c>
      <c r="B124" s="1" t="n">
        <v>45895</v>
      </c>
      <c r="C124" s="1" t="n">
        <v>46094</v>
      </c>
      <c r="D124" t="inlineStr">
        <is>
          <t>VÄSTRA GÖTALANDS LÄN</t>
        </is>
      </c>
      <c r="E124" t="inlineStr">
        <is>
          <t>ORUST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50532-2024</t>
        </is>
      </c>
      <c r="B125" s="1" t="n">
        <v>45601.56552083333</v>
      </c>
      <c r="C125" s="1" t="n">
        <v>46094</v>
      </c>
      <c r="D125" t="inlineStr">
        <is>
          <t>VÄSTRA GÖTALANDS LÄN</t>
        </is>
      </c>
      <c r="E125" t="inlineStr">
        <is>
          <t>ORUST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63626-2023</t>
        </is>
      </c>
      <c r="B126" s="1" t="n">
        <v>45275</v>
      </c>
      <c r="C126" s="1" t="n">
        <v>46094</v>
      </c>
      <c r="D126" t="inlineStr">
        <is>
          <t>VÄSTRA GÖTALANDS LÄN</t>
        </is>
      </c>
      <c r="E126" t="inlineStr">
        <is>
          <t>ORUST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32175-2024</t>
        </is>
      </c>
      <c r="B127" s="1" t="n">
        <v>45511.61238425926</v>
      </c>
      <c r="C127" s="1" t="n">
        <v>46094</v>
      </c>
      <c r="D127" t="inlineStr">
        <is>
          <t>VÄSTRA GÖTALANDS LÄN</t>
        </is>
      </c>
      <c r="E127" t="inlineStr">
        <is>
          <t>ORUST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46094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61302-2024</t>
        </is>
      </c>
      <c r="B129" s="1" t="n">
        <v>45645.90855324074</v>
      </c>
      <c r="C129" s="1" t="n">
        <v>46094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34155-2024</t>
        </is>
      </c>
      <c r="B130" s="1" t="n">
        <v>45524.3860300926</v>
      </c>
      <c r="C130" s="1" t="n">
        <v>46094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40681-2025</t>
        </is>
      </c>
      <c r="B131" s="1" t="n">
        <v>45896.85623842593</v>
      </c>
      <c r="C131" s="1" t="n">
        <v>46094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1288-2025</t>
        </is>
      </c>
      <c r="B132" s="1" t="n">
        <v>45667.50971064815</v>
      </c>
      <c r="C132" s="1" t="n">
        <v>46094</v>
      </c>
      <c r="D132" t="inlineStr">
        <is>
          <t>VÄSTRA GÖTALANDS LÄN</t>
        </is>
      </c>
      <c r="E132" t="inlineStr">
        <is>
          <t>ORUST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5714-2024</t>
        </is>
      </c>
      <c r="B133" s="1" t="n">
        <v>45334.87804398148</v>
      </c>
      <c r="C133" s="1" t="n">
        <v>46094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20898-2021</t>
        </is>
      </c>
      <c r="B134" s="1" t="n">
        <v>44319.41962962963</v>
      </c>
      <c r="C134" s="1" t="n">
        <v>46094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34380-2022</t>
        </is>
      </c>
      <c r="B135" s="1" t="n">
        <v>44792</v>
      </c>
      <c r="C135" s="1" t="n">
        <v>46094</v>
      </c>
      <c r="D135" t="inlineStr">
        <is>
          <t>VÄSTRA GÖTALANDS LÄN</t>
        </is>
      </c>
      <c r="E135" t="inlineStr">
        <is>
          <t>ORUST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46708-2023</t>
        </is>
      </c>
      <c r="B136" s="1" t="n">
        <v>45198</v>
      </c>
      <c r="C136" s="1" t="n">
        <v>46094</v>
      </c>
      <c r="D136" t="inlineStr">
        <is>
          <t>VÄSTRA GÖTALANDS LÄN</t>
        </is>
      </c>
      <c r="E136" t="inlineStr">
        <is>
          <t>ORUST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44919.46138888889</v>
      </c>
      <c r="C137" s="1" t="n">
        <v>46094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49134-2021</t>
        </is>
      </c>
      <c r="B138" s="1" t="n">
        <v>44453</v>
      </c>
      <c r="C138" s="1" t="n">
        <v>46094</v>
      </c>
      <c r="D138" t="inlineStr">
        <is>
          <t>VÄSTRA GÖTALANDS LÄN</t>
        </is>
      </c>
      <c r="E138" t="inlineStr">
        <is>
          <t>ORUST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13377-2023</t>
        </is>
      </c>
      <c r="B139" s="1" t="n">
        <v>45005.49668981481</v>
      </c>
      <c r="C139" s="1" t="n">
        <v>46094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37130-2024</t>
        </is>
      </c>
      <c r="B140" s="1" t="n">
        <v>45539.57060185185</v>
      </c>
      <c r="C140" s="1" t="n">
        <v>46094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57878-2022</t>
        </is>
      </c>
      <c r="B141" s="1" t="n">
        <v>44899.875625</v>
      </c>
      <c r="C141" s="1" t="n">
        <v>46094</v>
      </c>
      <c r="D141" t="inlineStr">
        <is>
          <t>VÄSTRA GÖTALANDS LÄN</t>
        </is>
      </c>
      <c r="E141" t="inlineStr">
        <is>
          <t>ORUST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59915-2024</t>
        </is>
      </c>
      <c r="B142" s="1" t="n">
        <v>45641.74975694445</v>
      </c>
      <c r="C142" s="1" t="n">
        <v>46094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5152-2025</t>
        </is>
      </c>
      <c r="B143" s="1" t="n">
        <v>45691.6000462963</v>
      </c>
      <c r="C143" s="1" t="n">
        <v>46094</v>
      </c>
      <c r="D143" t="inlineStr">
        <is>
          <t>VÄSTRA GÖTALANDS LÄN</t>
        </is>
      </c>
      <c r="E143" t="inlineStr">
        <is>
          <t>ORUST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41063-2025</t>
        </is>
      </c>
      <c r="B144" s="1" t="n">
        <v>45898</v>
      </c>
      <c r="C144" s="1" t="n">
        <v>46094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47884-2024</t>
        </is>
      </c>
      <c r="B145" s="1" t="n">
        <v>45588.81101851852</v>
      </c>
      <c r="C145" s="1" t="n">
        <v>46094</v>
      </c>
      <c r="D145" t="inlineStr">
        <is>
          <t>VÄSTRA GÖTALANDS LÄN</t>
        </is>
      </c>
      <c r="E145" t="inlineStr">
        <is>
          <t>ORUST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41881-2025</t>
        </is>
      </c>
      <c r="B146" s="1" t="n">
        <v>45903.36444444444</v>
      </c>
      <c r="C146" s="1" t="n">
        <v>46094</v>
      </c>
      <c r="D146" t="inlineStr">
        <is>
          <t>VÄSTRA GÖTALANDS LÄN</t>
        </is>
      </c>
      <c r="E146" t="inlineStr">
        <is>
          <t>ORUST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42069-2025</t>
        </is>
      </c>
      <c r="B147" s="1" t="n">
        <v>45903.65700231482</v>
      </c>
      <c r="C147" s="1" t="n">
        <v>46094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46094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2632-2024</t>
        </is>
      </c>
      <c r="B149" s="1" t="n">
        <v>45313.97175925926</v>
      </c>
      <c r="C149" s="1" t="n">
        <v>46094</v>
      </c>
      <c r="D149" t="inlineStr">
        <is>
          <t>VÄSTRA GÖTALANDS LÄN</t>
        </is>
      </c>
      <c r="E149" t="inlineStr">
        <is>
          <t>ORUST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1663-2024</t>
        </is>
      </c>
      <c r="B150" s="1" t="n">
        <v>45306</v>
      </c>
      <c r="C150" s="1" t="n">
        <v>46094</v>
      </c>
      <c r="D150" t="inlineStr">
        <is>
          <t>VÄSTRA GÖTALANDS LÄN</t>
        </is>
      </c>
      <c r="E150" t="inlineStr">
        <is>
          <t>ORUST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41688-2025</t>
        </is>
      </c>
      <c r="B151" s="1" t="n">
        <v>45902.39888888889</v>
      </c>
      <c r="C151" s="1" t="n">
        <v>46094</v>
      </c>
      <c r="D151" t="inlineStr">
        <is>
          <t>VÄSTRA GÖTALANDS LÄN</t>
        </is>
      </c>
      <c r="E151" t="inlineStr">
        <is>
          <t>ORUST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33454-2023</t>
        </is>
      </c>
      <c r="B152" s="1" t="n">
        <v>45130</v>
      </c>
      <c r="C152" s="1" t="n">
        <v>46094</v>
      </c>
      <c r="D152" t="inlineStr">
        <is>
          <t>VÄSTRA GÖTALANDS LÄN</t>
        </is>
      </c>
      <c r="E152" t="inlineStr">
        <is>
          <t>ORUST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42457-2025</t>
        </is>
      </c>
      <c r="B153" s="1" t="n">
        <v>45905.45289351852</v>
      </c>
      <c r="C153" s="1" t="n">
        <v>46094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42712-2023</t>
        </is>
      </c>
      <c r="B154" s="1" t="n">
        <v>45181.61869212963</v>
      </c>
      <c r="C154" s="1" t="n">
        <v>46094</v>
      </c>
      <c r="D154" t="inlineStr">
        <is>
          <t>VÄSTRA GÖTALANDS LÄN</t>
        </is>
      </c>
      <c r="E154" t="inlineStr">
        <is>
          <t>ORUST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50562-2024</t>
        </is>
      </c>
      <c r="B155" s="1" t="n">
        <v>45601.59825231481</v>
      </c>
      <c r="C155" s="1" t="n">
        <v>46094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20131-2025</t>
        </is>
      </c>
      <c r="B156" s="1" t="n">
        <v>45772.50918981482</v>
      </c>
      <c r="C156" s="1" t="n">
        <v>46094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5454-2025</t>
        </is>
      </c>
      <c r="B157" s="1" t="n">
        <v>45692.98011574074</v>
      </c>
      <c r="C157" s="1" t="n">
        <v>46094</v>
      </c>
      <c r="D157" t="inlineStr">
        <is>
          <t>VÄSTRA GÖTALANDS LÄN</t>
        </is>
      </c>
      <c r="E157" t="inlineStr">
        <is>
          <t>ORUST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2213-2025</t>
        </is>
      </c>
      <c r="B158" s="1" t="n">
        <v>45673.4359837963</v>
      </c>
      <c r="C158" s="1" t="n">
        <v>46094</v>
      </c>
      <c r="D158" t="inlineStr">
        <is>
          <t>VÄSTRA GÖTALANDS LÄN</t>
        </is>
      </c>
      <c r="E158" t="inlineStr">
        <is>
          <t>ORUST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40722-2024</t>
        </is>
      </c>
      <c r="B159" s="1" t="n">
        <v>45558.44460648148</v>
      </c>
      <c r="C159" s="1" t="n">
        <v>46094</v>
      </c>
      <c r="D159" t="inlineStr">
        <is>
          <t>VÄSTRA GÖTALANDS LÄN</t>
        </is>
      </c>
      <c r="E159" t="inlineStr">
        <is>
          <t>ORUST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36404-2024</t>
        </is>
      </c>
      <c r="B160" s="1" t="n">
        <v>45535.70535879629</v>
      </c>
      <c r="C160" s="1" t="n">
        <v>46094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57445-2024</t>
        </is>
      </c>
      <c r="B161" s="1" t="n">
        <v>45629.92240740741</v>
      </c>
      <c r="C161" s="1" t="n">
        <v>46094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47405-2025</t>
        </is>
      </c>
      <c r="B162" s="1" t="n">
        <v>45930.61258101852</v>
      </c>
      <c r="C162" s="1" t="n">
        <v>46094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47630-2025</t>
        </is>
      </c>
      <c r="B163" s="1" t="n">
        <v>45931.48855324074</v>
      </c>
      <c r="C163" s="1" t="n">
        <v>46094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47404-2025</t>
        </is>
      </c>
      <c r="B164" s="1" t="n">
        <v>45930.61149305556</v>
      </c>
      <c r="C164" s="1" t="n">
        <v>46094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46121-2025</t>
        </is>
      </c>
      <c r="B165" s="1" t="n">
        <v>45924</v>
      </c>
      <c r="C165" s="1" t="n">
        <v>46094</v>
      </c>
      <c r="D165" t="inlineStr">
        <is>
          <t>VÄSTRA GÖTALANDS LÄN</t>
        </is>
      </c>
      <c r="E165" t="inlineStr">
        <is>
          <t>ORUST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48419-2025</t>
        </is>
      </c>
      <c r="B166" s="1" t="n">
        <v>45934.58502314815</v>
      </c>
      <c r="C166" s="1" t="n">
        <v>46094</v>
      </c>
      <c r="D166" t="inlineStr">
        <is>
          <t>VÄSTRA GÖTALANDS LÄN</t>
        </is>
      </c>
      <c r="E166" t="inlineStr">
        <is>
          <t>ORUST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46119-2025</t>
        </is>
      </c>
      <c r="B167" s="1" t="n">
        <v>45924</v>
      </c>
      <c r="C167" s="1" t="n">
        <v>46094</v>
      </c>
      <c r="D167" t="inlineStr">
        <is>
          <t>VÄSTRA GÖTALANDS LÄN</t>
        </is>
      </c>
      <c r="E167" t="inlineStr">
        <is>
          <t>ORUST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49072-2025</t>
        </is>
      </c>
      <c r="B168" s="1" t="n">
        <v>45937.65501157408</v>
      </c>
      <c r="C168" s="1" t="n">
        <v>46094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49365-2025</t>
        </is>
      </c>
      <c r="B169" s="1" t="n">
        <v>45938.62341435185</v>
      </c>
      <c r="C169" s="1" t="n">
        <v>46094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54128-2025</t>
        </is>
      </c>
      <c r="B170" s="1" t="n">
        <v>45964.45993055555</v>
      </c>
      <c r="C170" s="1" t="n">
        <v>46094</v>
      </c>
      <c r="D170" t="inlineStr">
        <is>
          <t>VÄSTRA GÖTALANDS LÄN</t>
        </is>
      </c>
      <c r="E170" t="inlineStr">
        <is>
          <t>ORUST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56654-2025</t>
        </is>
      </c>
      <c r="B171" s="1" t="n">
        <v>45975.64869212963</v>
      </c>
      <c r="C171" s="1" t="n">
        <v>46094</v>
      </c>
      <c r="D171" t="inlineStr">
        <is>
          <t>VÄSTRA GÖTALANDS LÄN</t>
        </is>
      </c>
      <c r="E171" t="inlineStr">
        <is>
          <t>ORUST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58853-2025</t>
        </is>
      </c>
      <c r="B172" s="1" t="n">
        <v>45987.40476851852</v>
      </c>
      <c r="C172" s="1" t="n">
        <v>46094</v>
      </c>
      <c r="D172" t="inlineStr">
        <is>
          <t>VÄSTRA GÖTALANDS LÄN</t>
        </is>
      </c>
      <c r="E172" t="inlineStr">
        <is>
          <t>ORUST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58852-2025</t>
        </is>
      </c>
      <c r="B173" s="1" t="n">
        <v>45987.40355324074</v>
      </c>
      <c r="C173" s="1" t="n">
        <v>46094</v>
      </c>
      <c r="D173" t="inlineStr">
        <is>
          <t>VÄSTRA GÖTALANDS LÄN</t>
        </is>
      </c>
      <c r="E173" t="inlineStr">
        <is>
          <t>ORUST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59834-2025</t>
        </is>
      </c>
      <c r="B174" s="1" t="n">
        <v>45992.66811342593</v>
      </c>
      <c r="C174" s="1" t="n">
        <v>46094</v>
      </c>
      <c r="D174" t="inlineStr">
        <is>
          <t>VÄSTRA GÖTALANDS LÄN</t>
        </is>
      </c>
      <c r="E174" t="inlineStr">
        <is>
          <t>ORUST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61319-2025</t>
        </is>
      </c>
      <c r="B175" s="1" t="n">
        <v>46000.94983796297</v>
      </c>
      <c r="C175" s="1" t="n">
        <v>46094</v>
      </c>
      <c r="D175" t="inlineStr">
        <is>
          <t>VÄSTRA GÖTALANDS LÄN</t>
        </is>
      </c>
      <c r="E175" t="inlineStr">
        <is>
          <t>ORUST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61320-2025</t>
        </is>
      </c>
      <c r="B176" s="1" t="n">
        <v>46000.95591435185</v>
      </c>
      <c r="C176" s="1" t="n">
        <v>46094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6739-2026</t>
        </is>
      </c>
      <c r="B177" s="1" t="n">
        <v>46056.69936342593</v>
      </c>
      <c r="C177" s="1" t="n">
        <v>46094</v>
      </c>
      <c r="D177" t="inlineStr">
        <is>
          <t>VÄSTRA GÖTALANDS LÄN</t>
        </is>
      </c>
      <c r="E177" t="inlineStr">
        <is>
          <t>ORUST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8457-2026</t>
        </is>
      </c>
      <c r="B178" s="1" t="n">
        <v>46065.42722222222</v>
      </c>
      <c r="C178" s="1" t="n">
        <v>46094</v>
      </c>
      <c r="D178" t="inlineStr">
        <is>
          <t>VÄSTRA GÖTALANDS LÄN</t>
        </is>
      </c>
      <c r="E178" t="inlineStr">
        <is>
          <t>ORUST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9344-2026</t>
        </is>
      </c>
      <c r="B179" s="1" t="n">
        <v>46070.68266203703</v>
      </c>
      <c r="C179" s="1" t="n">
        <v>46094</v>
      </c>
      <c r="D179" t="inlineStr">
        <is>
          <t>VÄSTRA GÖTALANDS LÄN</t>
        </is>
      </c>
      <c r="E179" t="inlineStr">
        <is>
          <t>ORUST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10118-2026</t>
        </is>
      </c>
      <c r="B180" s="1" t="n">
        <v>46075.66628472223</v>
      </c>
      <c r="C180" s="1" t="n">
        <v>46094</v>
      </c>
      <c r="D180" t="inlineStr">
        <is>
          <t>VÄSTRA GÖTALANDS LÄN</t>
        </is>
      </c>
      <c r="E180" t="inlineStr">
        <is>
          <t>ORUST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2435-2026</t>
        </is>
      </c>
      <c r="B181" s="1" t="n">
        <v>46036.90065972223</v>
      </c>
      <c r="C181" s="1" t="n">
        <v>46094</v>
      </c>
      <c r="D181" t="inlineStr">
        <is>
          <t>VÄSTRA GÖTALANDS LÄN</t>
        </is>
      </c>
      <c r="E181" t="inlineStr">
        <is>
          <t>ORUST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2436-2026</t>
        </is>
      </c>
      <c r="B182" s="1" t="n">
        <v>46036.90234953703</v>
      </c>
      <c r="C182" s="1" t="n">
        <v>46094</v>
      </c>
      <c r="D182" t="inlineStr">
        <is>
          <t>VÄSTRA GÖTALANDS LÄN</t>
        </is>
      </c>
      <c r="E182" t="inlineStr">
        <is>
          <t>ORUST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4114-2026</t>
        </is>
      </c>
      <c r="B183" s="1" t="n">
        <v>46044.60348379629</v>
      </c>
      <c r="C183" s="1" t="n">
        <v>46094</v>
      </c>
      <c r="D183" t="inlineStr">
        <is>
          <t>VÄSTRA GÖTALANDS LÄN</t>
        </is>
      </c>
      <c r="E183" t="inlineStr">
        <is>
          <t>ORUST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12087-2026</t>
        </is>
      </c>
      <c r="B184" s="1" t="n">
        <v>46086.45980324074</v>
      </c>
      <c r="C184" s="1" t="n">
        <v>46094</v>
      </c>
      <c r="D184" t="inlineStr">
        <is>
          <t>VÄSTRA GÖTALANDS LÄN</t>
        </is>
      </c>
      <c r="E184" t="inlineStr">
        <is>
          <t>ORUST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12722-2026</t>
        </is>
      </c>
      <c r="B185" s="1" t="n">
        <v>46091.60934027778</v>
      </c>
      <c r="C185" s="1" t="n">
        <v>46094</v>
      </c>
      <c r="D185" t="inlineStr">
        <is>
          <t>VÄSTRA GÖTALANDS LÄN</t>
        </is>
      </c>
      <c r="E185" t="inlineStr">
        <is>
          <t>ORUST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HYPERLINK("https://klasma.github.io/Logging_1421/knärot/A 12722-2026 karta knärot.png", "A 12722-2026")</f>
        <v/>
      </c>
      <c r="V185">
        <f>HYPERLINK("https://klasma.github.io/Logging_1421/klagomål/A 12722-2026 FSC-klagomål.docx", "A 12722-2026")</f>
        <v/>
      </c>
      <c r="W185">
        <f>HYPERLINK("https://klasma.github.io/Logging_1421/klagomålsmail/A 12722-2026 FSC-klagomål mail.docx", "A 12722-2026")</f>
        <v/>
      </c>
      <c r="X185">
        <f>HYPERLINK("https://klasma.github.io/Logging_1421/tillsyn/A 12722-2026 tillsynsbegäran.docx", "A 12722-2026")</f>
        <v/>
      </c>
      <c r="Y185">
        <f>HYPERLINK("https://klasma.github.io/Logging_1421/tillsynsmail/A 12722-2026 tillsynsbegäran mail.docx", "A 12722-2026")</f>
        <v/>
      </c>
    </row>
    <row r="186">
      <c r="A186" t="inlineStr">
        <is>
          <t>A 9194-2026</t>
        </is>
      </c>
      <c r="B186" s="1" t="n">
        <v>46070.39208333333</v>
      </c>
      <c r="C186" s="1" t="n">
        <v>46094</v>
      </c>
      <c r="D186" t="inlineStr">
        <is>
          <t>VÄSTRA GÖTALANDS LÄN</t>
        </is>
      </c>
      <c r="E186" t="inlineStr">
        <is>
          <t>ORUST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2026-03-13T11:17:14Z</dcterms:created>
  <dcterms:modified xmlns:dcterms="http://purl.org/dc/terms/" xmlns:xsi="http://www.w3.org/2001/XMLSchema-instance" xsi:type="dcterms:W3CDTF">2026-03-13T11:17:14Z</dcterms:modified>
</cp:coreProperties>
</file>