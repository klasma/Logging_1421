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46293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46293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46293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46293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46293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46293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46293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46293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46293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46293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46293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46293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46293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46293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46293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49047-2025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45937</v>
      </c>
      <c r="E17" s="1" t="n">
        <v>46293</v>
      </c>
      <c r="F17" t="inlineStr">
        <is>
          <t>VÄSTRA GÖTALANDS LÄN</t>
        </is>
      </c>
      <c r="G17" t="inlineStr">
        <is>
          <t>ORUST</t>
        </is>
      </c>
      <c r="I17" t="n">
        <v>3.2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HYPERLINK("https://klasma.github.io/Logging_1421/artfynd/A 49047-2025 artfynd.xlsx", "A 49047-2025")</f>
        <v/>
      </c>
      <c r="X17">
        <f>HYPERLINK("https://klasma.github.io/Logging_1421/kartor/A 49047-2025 karta.png", "A 49047-2025")</f>
        <v/>
      </c>
      <c r="Y17">
        <f>HYPERLINK("https://klasma.github.io/Logging_1421/kartor_geotiff/A 49047-2025 georefererad karta.tif", "A 49047-2025")</f>
        <v/>
      </c>
      <c r="AA17">
        <f>HYPERLINK("https://klasma.github.io/Logging_1421/klagomål/A 49047-2025 FSC-klagomål.docx", "A 49047-2025")</f>
        <v/>
      </c>
      <c r="AB17">
        <f>HYPERLINK("https://klasma.github.io/Logging_1421/klagomålsmail/A 49047-2025 FSC-klagomål mail.docx", "A 49047-2025")</f>
        <v/>
      </c>
      <c r="AC17">
        <f>HYPERLINK("https://klasma.github.io/Logging_1421/tillsyn/A 49047-2025 tillsynsbegäran.docx", "A 49047-2025")</f>
        <v/>
      </c>
      <c r="AD17">
        <f>HYPERLINK("https://klasma.github.io/Logging_1421/tillsynsmail/A 49047-2025 tillsynsbegäran mail.docx", "A 49047-2025")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46293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46293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46293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46293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46293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6986-2024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46293</v>
      </c>
      <c r="F23" t="inlineStr">
        <is>
          <t>VÄSTRA GÖTALANDS LÄN</t>
        </is>
      </c>
      <c r="G23" t="inlineStr">
        <is>
          <t>ORUST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HYPERLINK("https://klasma.github.io/Logging_1421/artfynd/A 6986-2024 artfynd.xlsx", "A 6986-2024")</f>
        <v/>
      </c>
      <c r="X23">
        <f>HYPERLINK("https://klasma.github.io/Logging_1421/kartor/A 6986-2024 karta.png", "A 6986-2024")</f>
        <v/>
      </c>
      <c r="Y23">
        <f>HYPERLINK("https://klasma.github.io/Logging_1421/kartor_geotiff/A 6986-2024 georefererad karta.tif", "A 6986-2024")</f>
        <v/>
      </c>
      <c r="AA23">
        <f>HYPERLINK("https://klasma.github.io/Logging_1421/klagomål/A 6986-2024 FSC-klagomål.docx", "A 6986-2024")</f>
        <v/>
      </c>
      <c r="AB23">
        <f>HYPERLINK("https://klasma.github.io/Logging_1421/klagomålsmail/A 6986-2024 FSC-klagomål mail.docx", "A 6986-2024")</f>
        <v/>
      </c>
      <c r="AC23">
        <f>HYPERLINK("https://klasma.github.io/Logging_1421/tillsyn/A 6986-2024 tillsynsbegäran.docx", "A 6986-2024")</f>
        <v/>
      </c>
      <c r="AD23">
        <f>HYPERLINK("https://klasma.github.io/Logging_1421/tillsynsmail/A 6986-2024 tillsynsbegäran mail.docx", "A 6986-2024")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46293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46293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46293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46293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46293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46293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46293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46293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46293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46293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46293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46293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46293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46293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46293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46293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46293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46293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46293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46293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45454</v>
      </c>
      <c r="E44" s="1" t="n">
        <v>46293</v>
      </c>
      <c r="F44" t="inlineStr">
        <is>
          <t>VÄSTRA GÖTALANDS LÄN</t>
        </is>
      </c>
      <c r="G44" t="inlineStr">
        <is>
          <t>ORUST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34046-2024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45523</v>
      </c>
      <c r="E45" s="1" t="n">
        <v>46293</v>
      </c>
      <c r="F45" t="inlineStr">
        <is>
          <t>VÄSTRA GÖTALANDS LÄN</t>
        </is>
      </c>
      <c r="G45" t="inlineStr">
        <is>
          <t>ORUST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46293</v>
      </c>
      <c r="F46" t="inlineStr">
        <is>
          <t>VÄSTRA GÖTALANDS LÄN</t>
        </is>
      </c>
      <c r="G46" t="inlineStr">
        <is>
          <t>ORUST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28109-2024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45476</v>
      </c>
      <c r="E47" s="1" t="n">
        <v>46293</v>
      </c>
      <c r="F47" t="inlineStr">
        <is>
          <t>VÄSTRA GÖTALANDS LÄN</t>
        </is>
      </c>
      <c r="G47" t="inlineStr">
        <is>
          <t>ORUST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45667</v>
      </c>
      <c r="E48" s="1" t="n">
        <v>46293</v>
      </c>
      <c r="F48" t="inlineStr">
        <is>
          <t>VÄSTRA GÖTALANDS LÄN</t>
        </is>
      </c>
      <c r="G48" t="inlineStr">
        <is>
          <t>ORUST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45334</v>
      </c>
      <c r="E49" s="1" t="n">
        <v>46293</v>
      </c>
      <c r="F49" t="inlineStr">
        <is>
          <t>VÄSTRA GÖTALANDS LÄN</t>
        </is>
      </c>
      <c r="G49" t="inlineStr">
        <is>
          <t>ORUST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46293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46293</v>
      </c>
      <c r="F51" t="inlineStr">
        <is>
          <t>VÄSTRA GÖTALANDS LÄN</t>
        </is>
      </c>
      <c r="G51" t="inlineStr">
        <is>
          <t>ORUST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46036</v>
      </c>
      <c r="E52" s="1" t="n">
        <v>46293</v>
      </c>
      <c r="F52" t="inlineStr">
        <is>
          <t>VÄSTRA GÖTALANDS LÄN</t>
        </is>
      </c>
      <c r="G52" t="inlineStr">
        <is>
          <t>ORUST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46036</v>
      </c>
      <c r="E53" s="1" t="n">
        <v>46293</v>
      </c>
      <c r="F53" t="inlineStr">
        <is>
          <t>VÄSTRA GÖTALANDS LÄN</t>
        </is>
      </c>
      <c r="G53" t="inlineStr">
        <is>
          <t>ORUST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49822-2022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46293</v>
      </c>
      <c r="F54" t="inlineStr">
        <is>
          <t>VÄSTRA GÖTALANDS LÄN</t>
        </is>
      </c>
      <c r="G54" t="inlineStr">
        <is>
          <t>ORUST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44899</v>
      </c>
      <c r="E55" s="1" t="n">
        <v>46293</v>
      </c>
      <c r="F55" t="inlineStr">
        <is>
          <t>VÄSTRA GÖTALANDS LÄN</t>
        </is>
      </c>
      <c r="G55" t="inlineStr">
        <is>
          <t>ORUST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46044</v>
      </c>
      <c r="E56" s="1" t="n">
        <v>46293</v>
      </c>
      <c r="F56" t="inlineStr">
        <is>
          <t>VÄSTRA GÖTALANDS LÄN</t>
        </is>
      </c>
      <c r="G56" t="inlineStr">
        <is>
          <t>ORUST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46293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46293</v>
      </c>
      <c r="F58" t="inlineStr">
        <is>
          <t>VÄSTRA GÖTALANDS LÄN</t>
        </is>
      </c>
      <c r="G58" t="inlineStr">
        <is>
          <t>ORUST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46293</v>
      </c>
      <c r="F59" t="inlineStr">
        <is>
          <t>VÄSTRA GÖTALANDS LÄN</t>
        </is>
      </c>
      <c r="G59" t="inlineStr">
        <is>
          <t>ORUST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45903</v>
      </c>
      <c r="E60" s="1" t="n">
        <v>46293</v>
      </c>
      <c r="F60" t="inlineStr">
        <is>
          <t>VÄSTRA GÖTALANDS LÄN</t>
        </is>
      </c>
      <c r="G60" t="inlineStr">
        <is>
          <t>ORUST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46293</v>
      </c>
      <c r="F61" t="inlineStr">
        <is>
          <t>VÄSTRA GÖTALANDS LÄN</t>
        </is>
      </c>
      <c r="G61" t="inlineStr">
        <is>
          <t>ORUST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45491</v>
      </c>
      <c r="E62" s="1" t="n">
        <v>46293</v>
      </c>
      <c r="F62" t="inlineStr">
        <is>
          <t>VÄSTRA GÖTALANDS LÄN</t>
        </is>
      </c>
      <c r="G62" t="inlineStr">
        <is>
          <t>ORUST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46056</v>
      </c>
      <c r="E63" s="1" t="n">
        <v>46293</v>
      </c>
      <c r="F63" t="inlineStr">
        <is>
          <t>VÄSTRA GÖTALANDS LÄN</t>
        </is>
      </c>
      <c r="G63" t="inlineStr">
        <is>
          <t>ORUST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44924</v>
      </c>
      <c r="E64" s="1" t="n">
        <v>46293</v>
      </c>
      <c r="F64" t="inlineStr">
        <is>
          <t>VÄSTRA GÖTALANDS LÄN</t>
        </is>
      </c>
      <c r="G64" t="inlineStr">
        <is>
          <t>ORUST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46065</v>
      </c>
      <c r="E65" s="1" t="n">
        <v>46293</v>
      </c>
      <c r="F65" t="inlineStr">
        <is>
          <t>VÄSTRA GÖTALANDS LÄN</t>
        </is>
      </c>
      <c r="G65" t="inlineStr">
        <is>
          <t>ORUST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46293</v>
      </c>
      <c r="F66" t="inlineStr">
        <is>
          <t>VÄSTRA GÖTALANDS LÄN</t>
        </is>
      </c>
      <c r="G66" t="inlineStr">
        <is>
          <t>ORUST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46293</v>
      </c>
      <c r="F67" t="inlineStr">
        <is>
          <t>VÄSTRA GÖTALANDS LÄN</t>
        </is>
      </c>
      <c r="G67" t="inlineStr">
        <is>
          <t>ORUST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40743-2024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45558</v>
      </c>
      <c r="E68" s="1" t="n">
        <v>46293</v>
      </c>
      <c r="F68" t="inlineStr">
        <is>
          <t>VÄSTRA GÖTALANDS LÄN</t>
        </is>
      </c>
      <c r="G68" t="inlineStr">
        <is>
          <t>ORUST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46075</v>
      </c>
      <c r="E69" s="1" t="n">
        <v>46293</v>
      </c>
      <c r="F69" t="inlineStr">
        <is>
          <t>VÄSTRA GÖTALANDS LÄN</t>
        </is>
      </c>
      <c r="G69" t="inlineStr">
        <is>
          <t>ORUST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49617-2023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46293</v>
      </c>
      <c r="F70" t="inlineStr">
        <is>
          <t>VÄSTRA GÖTALANDS LÄN</t>
        </is>
      </c>
      <c r="G70" t="inlineStr">
        <is>
          <t>ORUST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45573</v>
      </c>
      <c r="E71" s="1" t="n">
        <v>46293</v>
      </c>
      <c r="F71" t="inlineStr">
        <is>
          <t>VÄSTRA GÖTALANDS LÄN</t>
        </is>
      </c>
      <c r="G71" t="inlineStr">
        <is>
          <t>ORUST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12087-2026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46086</v>
      </c>
      <c r="E72" s="1" t="n">
        <v>46293</v>
      </c>
      <c r="F72" t="inlineStr">
        <is>
          <t>VÄSTRA GÖTALANDS LÄN</t>
        </is>
      </c>
      <c r="G72" t="inlineStr">
        <is>
          <t>ORUST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46293</v>
      </c>
      <c r="F73" t="inlineStr">
        <is>
          <t>VÄSTRA GÖTALANDS LÄN</t>
        </is>
      </c>
      <c r="G73" t="inlineStr">
        <is>
          <t>ORUST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46293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46293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46293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46293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46120</v>
      </c>
      <c r="E78" s="1" t="n">
        <v>46293</v>
      </c>
      <c r="F78" t="inlineStr">
        <is>
          <t>VÄSTRA GÖTALANDS LÄN</t>
        </is>
      </c>
      <c r="G78" t="inlineStr">
        <is>
          <t>ORUST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45139</v>
      </c>
      <c r="E79" s="1" t="n">
        <v>46293</v>
      </c>
      <c r="F79" t="inlineStr">
        <is>
          <t>VÄSTRA GÖTALANDS LÄN</t>
        </is>
      </c>
      <c r="G79" t="inlineStr">
        <is>
          <t>ORUST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46293</v>
      </c>
      <c r="F80" t="inlineStr">
        <is>
          <t>VÄSTRA GÖTALANDS LÄN</t>
        </is>
      </c>
      <c r="G80" t="inlineStr">
        <is>
          <t>ORUST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45130</v>
      </c>
      <c r="E81" s="1" t="n">
        <v>46293</v>
      </c>
      <c r="F81" t="inlineStr">
        <is>
          <t>VÄSTRA GÖTALANDS LÄN</t>
        </is>
      </c>
      <c r="G81" t="inlineStr">
        <is>
          <t>ORUST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46293</v>
      </c>
      <c r="F82" t="inlineStr">
        <is>
          <t>VÄSTRA GÖTALANDS LÄN</t>
        </is>
      </c>
      <c r="G82" t="inlineStr">
        <is>
          <t>ORUST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38322-2023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45161</v>
      </c>
      <c r="E83" s="1" t="n">
        <v>46293</v>
      </c>
      <c r="F83" t="inlineStr">
        <is>
          <t>VÄSTRA GÖTALANDS LÄN</t>
        </is>
      </c>
      <c r="G83" t="inlineStr">
        <is>
          <t>ORUST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46293</v>
      </c>
      <c r="F84" t="inlineStr">
        <is>
          <t>VÄSTRA GÖTALANDS LÄN</t>
        </is>
      </c>
      <c r="G84" t="inlineStr">
        <is>
          <t>ORUST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46293</v>
      </c>
      <c r="F85" t="inlineStr">
        <is>
          <t>VÄSTRA GÖTALANDS LÄN</t>
        </is>
      </c>
      <c r="G85" t="inlineStr">
        <is>
          <t>ORUST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46293</v>
      </c>
      <c r="F86" t="inlineStr">
        <is>
          <t>VÄSTRA GÖTALANDS LÄN</t>
        </is>
      </c>
      <c r="G86" t="inlineStr">
        <is>
          <t>ORUST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45992</v>
      </c>
      <c r="E87" s="1" t="n">
        <v>46293</v>
      </c>
      <c r="F87" t="inlineStr">
        <is>
          <t>VÄSTRA GÖTALANDS LÄN</t>
        </is>
      </c>
      <c r="G87" t="inlineStr">
        <is>
          <t>ORUST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56496-2021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46293</v>
      </c>
      <c r="F88" t="inlineStr">
        <is>
          <t>VÄSTRA GÖTALANDS LÄN</t>
        </is>
      </c>
      <c r="G88" t="inlineStr">
        <is>
          <t>ORUST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40328-2025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45895</v>
      </c>
      <c r="E89" s="1" t="n">
        <v>46293</v>
      </c>
      <c r="F89" t="inlineStr">
        <is>
          <t>VÄSTRA GÖTALANDS LÄN</t>
        </is>
      </c>
      <c r="G89" t="inlineStr">
        <is>
          <t>ORUST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46293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46293</v>
      </c>
      <c r="F91" t="inlineStr">
        <is>
          <t>VÄSTRA GÖTALANDS LÄN</t>
        </is>
      </c>
      <c r="G91" t="inlineStr">
        <is>
          <t>ORUST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46293</v>
      </c>
      <c r="F92" t="inlineStr">
        <is>
          <t>VÄSTRA GÖTALANDS LÄN</t>
        </is>
      </c>
      <c r="G92" t="inlineStr">
        <is>
          <t>ORUST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46293</v>
      </c>
      <c r="F93" t="inlineStr">
        <is>
          <t>VÄSTRA GÖTALANDS LÄN</t>
        </is>
      </c>
      <c r="G93" t="inlineStr">
        <is>
          <t>ORUST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14802-2023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45014</v>
      </c>
      <c r="E94" s="1" t="n">
        <v>46293</v>
      </c>
      <c r="F94" t="inlineStr">
        <is>
          <t>VÄSTRA GÖTALANDS LÄN</t>
        </is>
      </c>
      <c r="G94" t="inlineStr">
        <is>
          <t>ORUST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46293</v>
      </c>
      <c r="F95" t="inlineStr">
        <is>
          <t>VÄSTRA GÖTALANDS LÄN</t>
        </is>
      </c>
      <c r="G95" t="inlineStr">
        <is>
          <t>ORUST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68727-2021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46293</v>
      </c>
      <c r="F96" t="inlineStr">
        <is>
          <t>VÄSTRA GÖTALANDS LÄN</t>
        </is>
      </c>
      <c r="G96" t="inlineStr">
        <is>
          <t>ORUST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46293</v>
      </c>
      <c r="F97" t="inlineStr">
        <is>
          <t>VÄSTRA GÖTALANDS LÄN</t>
        </is>
      </c>
      <c r="G97" t="inlineStr">
        <is>
          <t>ORUST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20675-2026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46293</v>
      </c>
      <c r="F98" t="inlineStr">
        <is>
          <t>VÄSTRA GÖTALANDS LÄN</t>
        </is>
      </c>
      <c r="G98" t="inlineStr">
        <is>
          <t>ORUST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45535</v>
      </c>
      <c r="E99" s="1" t="n">
        <v>46293</v>
      </c>
      <c r="F99" t="inlineStr">
        <is>
          <t>VÄSTRA GÖTALANDS LÄN</t>
        </is>
      </c>
      <c r="G99" t="inlineStr">
        <is>
          <t>ORUST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46293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46293</v>
      </c>
      <c r="F101" t="inlineStr">
        <is>
          <t>VÄSTRA GÖTALANDS LÄN</t>
        </is>
      </c>
      <c r="G101" t="inlineStr">
        <is>
          <t>ORUST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14609-2024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45396</v>
      </c>
      <c r="E102" s="1" t="n">
        <v>46293</v>
      </c>
      <c r="F102" t="inlineStr">
        <is>
          <t>VÄSTRA GÖTALANDS LÄN</t>
        </is>
      </c>
      <c r="G102" t="inlineStr">
        <is>
          <t>ORUST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45840</v>
      </c>
      <c r="E103" s="1" t="n">
        <v>46293</v>
      </c>
      <c r="F103" t="inlineStr">
        <is>
          <t>VÄSTRA GÖTALANDS LÄN</t>
        </is>
      </c>
      <c r="G103" t="inlineStr">
        <is>
          <t>ORUST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46293</v>
      </c>
      <c r="F104" t="inlineStr">
        <is>
          <t>VÄSTRA GÖTALANDS LÄN</t>
        </is>
      </c>
      <c r="G104" t="inlineStr">
        <is>
          <t>ORUST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34502-2025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45847</v>
      </c>
      <c r="E105" s="1" t="n">
        <v>46293</v>
      </c>
      <c r="F105" t="inlineStr">
        <is>
          <t>VÄSTRA GÖTALANDS LÄN</t>
        </is>
      </c>
      <c r="G105" t="inlineStr">
        <is>
          <t>ORUST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46293</v>
      </c>
      <c r="F106" t="inlineStr">
        <is>
          <t>VÄSTRA GÖTALANDS LÄN</t>
        </is>
      </c>
      <c r="G106" t="inlineStr">
        <is>
          <t>ORUST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24605-2026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46170</v>
      </c>
      <c r="E107" s="1" t="n">
        <v>46293</v>
      </c>
      <c r="F107" t="inlineStr">
        <is>
          <t>VÄSTRA GÖTALANDS LÄN</t>
        </is>
      </c>
      <c r="G107" t="inlineStr">
        <is>
          <t>ORUST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25123-2026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46293</v>
      </c>
      <c r="F108" t="inlineStr">
        <is>
          <t>VÄSTRA GÖTALANDS LÄN</t>
        </is>
      </c>
      <c r="G108" t="inlineStr">
        <is>
          <t>ORUST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44919</v>
      </c>
      <c r="E109" s="1" t="n">
        <v>46293</v>
      </c>
      <c r="F109" t="inlineStr">
        <is>
          <t>VÄSTRA GÖTALANDS LÄN</t>
        </is>
      </c>
      <c r="G109" t="inlineStr">
        <is>
          <t>ORUST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25138-2026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46175</v>
      </c>
      <c r="E110" s="1" t="n">
        <v>46293</v>
      </c>
      <c r="F110" t="inlineStr">
        <is>
          <t>VÄSTRA GÖTALANDS LÄN</t>
        </is>
      </c>
      <c r="G110" t="inlineStr">
        <is>
          <t>ORUST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6957-2024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46293</v>
      </c>
      <c r="F111" t="inlineStr">
        <is>
          <t>VÄSTRA GÖTALANDS LÄN</t>
        </is>
      </c>
      <c r="G111" t="inlineStr">
        <is>
          <t>ORUST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46293</v>
      </c>
      <c r="F112" t="inlineStr">
        <is>
          <t>VÄSTRA GÖTALANDS LÄN</t>
        </is>
      </c>
      <c r="G112" t="inlineStr">
        <is>
          <t>ORUST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46293</v>
      </c>
      <c r="F113" t="inlineStr">
        <is>
          <t>VÄSTRA GÖTALANDS LÄN</t>
        </is>
      </c>
      <c r="G113" t="inlineStr">
        <is>
          <t>ORUST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45511</v>
      </c>
      <c r="E114" s="1" t="n">
        <v>46293</v>
      </c>
      <c r="F114" t="inlineStr">
        <is>
          <t>VÄSTRA GÖTALANDS LÄN</t>
        </is>
      </c>
      <c r="G114" t="inlineStr">
        <is>
          <t>ORUST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46293</v>
      </c>
      <c r="F115" t="inlineStr">
        <is>
          <t>VÄSTRA GÖTALANDS LÄN</t>
        </is>
      </c>
      <c r="G115" t="inlineStr">
        <is>
          <t>ORUST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46293</v>
      </c>
      <c r="F116" t="inlineStr">
        <is>
          <t>VÄSTRA GÖTALANDS LÄN</t>
        </is>
      </c>
      <c r="G116" t="inlineStr">
        <is>
          <t>ORUST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36722-2025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45872</v>
      </c>
      <c r="E117" s="1" t="n">
        <v>46293</v>
      </c>
      <c r="F117" t="inlineStr">
        <is>
          <t>VÄSTRA GÖTALANDS LÄN</t>
        </is>
      </c>
      <c r="G117" t="inlineStr">
        <is>
          <t>ORUST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46293</v>
      </c>
      <c r="F118" t="inlineStr">
        <is>
          <t>VÄSTRA GÖTALANDS LÄN</t>
        </is>
      </c>
      <c r="G118" t="inlineStr">
        <is>
          <t>ORUST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46293</v>
      </c>
      <c r="F119" t="inlineStr">
        <is>
          <t>VÄSTRA GÖTALANDS LÄN</t>
        </is>
      </c>
      <c r="G119" t="inlineStr">
        <is>
          <t>ORUST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46293</v>
      </c>
      <c r="F120" t="inlineStr">
        <is>
          <t>VÄSTRA GÖTALANDS LÄN</t>
        </is>
      </c>
      <c r="G120" t="inlineStr">
        <is>
          <t>ORUST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46251</v>
      </c>
      <c r="E121" s="1" t="n">
        <v>46293</v>
      </c>
      <c r="F121" t="inlineStr">
        <is>
          <t>VÄSTRA GÖTALANDS LÄN</t>
        </is>
      </c>
      <c r="G121" t="inlineStr">
        <is>
          <t>ORUST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46213</v>
      </c>
      <c r="E122" s="1" t="n">
        <v>46293</v>
      </c>
      <c r="F122" t="inlineStr">
        <is>
          <t>VÄSTRA GÖTALANDS LÄN</t>
        </is>
      </c>
      <c r="G122" t="inlineStr">
        <is>
          <t>ORUST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46293</v>
      </c>
      <c r="F123" t="inlineStr">
        <is>
          <t>VÄSTRA GÖTALANDS LÄN</t>
        </is>
      </c>
      <c r="G123" t="inlineStr">
        <is>
          <t>ORUST</t>
        </is>
      </c>
      <c r="I123" t="n">
        <v>9.300000000000001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44791</v>
      </c>
      <c r="E124" s="1" t="n">
        <v>46293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46269</v>
      </c>
      <c r="E125" s="1" t="n">
        <v>46293</v>
      </c>
      <c r="F125" t="inlineStr">
        <is>
          <t>VÄSTRA GÖTALANDS LÄN</t>
        </is>
      </c>
      <c r="G125" t="inlineStr">
        <is>
          <t>ORUST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46293</v>
      </c>
      <c r="F126" t="inlineStr">
        <is>
          <t>VÄSTRA GÖTALANDS LÄN</t>
        </is>
      </c>
      <c r="G126" t="inlineStr">
        <is>
          <t>ORUST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46280</v>
      </c>
      <c r="E127" s="1" t="n">
        <v>46293</v>
      </c>
      <c r="F127" t="inlineStr">
        <is>
          <t>VÄSTRA GÖTALANDS LÄN</t>
        </is>
      </c>
      <c r="G127" t="inlineStr">
        <is>
          <t>ORUST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45692</v>
      </c>
      <c r="E128" s="1" t="n">
        <v>46293</v>
      </c>
      <c r="F128" t="inlineStr">
        <is>
          <t>VÄSTRA GÖTALANDS LÄN</t>
        </is>
      </c>
      <c r="G128" t="inlineStr">
        <is>
          <t>ORUST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45045</v>
      </c>
      <c r="E129" s="1" t="n">
        <v>46293</v>
      </c>
      <c r="F129" t="inlineStr">
        <is>
          <t>VÄSTRA GÖTALANDS LÄN</t>
        </is>
      </c>
      <c r="G129" t="inlineStr">
        <is>
          <t>ORUST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45523</v>
      </c>
      <c r="E130" s="1" t="n">
        <v>46293</v>
      </c>
      <c r="F130" t="inlineStr">
        <is>
          <t>VÄSTRA GÖTALANDS LÄN</t>
        </is>
      </c>
      <c r="G130" t="inlineStr">
        <is>
          <t>ORUST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45641</v>
      </c>
      <c r="E131" s="1" t="n">
        <v>46293</v>
      </c>
      <c r="F131" t="inlineStr">
        <is>
          <t>VÄSTRA GÖTALANDS LÄN</t>
        </is>
      </c>
      <c r="G131" t="inlineStr">
        <is>
          <t>ORUST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57877-2022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44899</v>
      </c>
      <c r="E132" s="1" t="n">
        <v>46293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45005</v>
      </c>
      <c r="E133" s="1" t="n">
        <v>46293</v>
      </c>
      <c r="F133" t="inlineStr">
        <is>
          <t>VÄSTRA GÖTALANDS LÄN</t>
        </is>
      </c>
      <c r="G133" t="inlineStr">
        <is>
          <t>ORUST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46293</v>
      </c>
      <c r="F134" t="inlineStr">
        <is>
          <t>VÄSTRA GÖTALANDS LÄN</t>
        </is>
      </c>
      <c r="G134" t="inlineStr">
        <is>
          <t>ORUST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46293</v>
      </c>
      <c r="F135" t="inlineStr">
        <is>
          <t>VÄSTRA GÖTALANDS LÄN</t>
        </is>
      </c>
      <c r="G135" t="inlineStr">
        <is>
          <t>ORUST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46293</v>
      </c>
      <c r="F136" t="inlineStr">
        <is>
          <t>VÄSTRA GÖTALANDS LÄN</t>
        </is>
      </c>
      <c r="G136" t="inlineStr">
        <is>
          <t>ORUST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45181</v>
      </c>
      <c r="E137" s="1" t="n">
        <v>46293</v>
      </c>
      <c r="F137" t="inlineStr">
        <is>
          <t>VÄSTRA GÖTALANDS LÄN</t>
        </is>
      </c>
      <c r="G137" t="inlineStr">
        <is>
          <t>ORUST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46293</v>
      </c>
      <c r="F138" t="inlineStr">
        <is>
          <t>VÄSTRA GÖTALANDS LÄN</t>
        </is>
      </c>
      <c r="G138" t="inlineStr">
        <is>
          <t>ORUST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46293</v>
      </c>
      <c r="F139" t="inlineStr">
        <is>
          <t>VÄSTRA GÖTALANDS LÄN</t>
        </is>
      </c>
      <c r="G139" t="inlineStr">
        <is>
          <t>ORUST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45558</v>
      </c>
      <c r="E140" s="1" t="n">
        <v>46293</v>
      </c>
      <c r="F140" t="inlineStr">
        <is>
          <t>VÄSTRA GÖTALANDS LÄN</t>
        </is>
      </c>
      <c r="G140" t="inlineStr">
        <is>
          <t>ORUST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45268</v>
      </c>
      <c r="E141" s="1" t="n">
        <v>46293</v>
      </c>
      <c r="F141" t="inlineStr">
        <is>
          <t>VÄSTRA GÖTALANDS LÄN</t>
        </is>
      </c>
      <c r="G141" t="inlineStr">
        <is>
          <t>ORUST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44655</v>
      </c>
      <c r="E142" s="1" t="n">
        <v>46293</v>
      </c>
      <c r="F142" t="inlineStr">
        <is>
          <t>VÄSTRA GÖTALANDS LÄN</t>
        </is>
      </c>
      <c r="G142" t="inlineStr">
        <is>
          <t>ORUST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45339</v>
      </c>
      <c r="E143" s="1" t="n">
        <v>46293</v>
      </c>
      <c r="F143" t="inlineStr">
        <is>
          <t>VÄSTRA GÖTALANDS LÄN</t>
        </is>
      </c>
      <c r="G143" t="inlineStr">
        <is>
          <t>ORUST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45005</v>
      </c>
      <c r="E144" s="1" t="n">
        <v>46293</v>
      </c>
      <c r="F144" t="inlineStr">
        <is>
          <t>VÄSTRA GÖTALANDS LÄN</t>
        </is>
      </c>
      <c r="G144" t="inlineStr">
        <is>
          <t>ORUST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46293</v>
      </c>
      <c r="F145" t="inlineStr">
        <is>
          <t>VÄSTRA GÖTALANDS LÄN</t>
        </is>
      </c>
      <c r="G145" t="inlineStr">
        <is>
          <t>ORUST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45601</v>
      </c>
      <c r="E146" s="1" t="n">
        <v>46293</v>
      </c>
      <c r="F146" t="inlineStr">
        <is>
          <t>VÄSTRA GÖTALANDS LÄN</t>
        </is>
      </c>
      <c r="G146" t="inlineStr">
        <is>
          <t>ORUST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46293</v>
      </c>
      <c r="F147" t="inlineStr">
        <is>
          <t>VÄSTRA GÖTALANDS LÄN</t>
        </is>
      </c>
      <c r="G147" t="inlineStr">
        <is>
          <t>ORUST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46293</v>
      </c>
      <c r="F148" t="inlineStr">
        <is>
          <t>VÄSTRA GÖTALANDS LÄN</t>
        </is>
      </c>
      <c r="G148" t="inlineStr">
        <is>
          <t>ORUST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45718</v>
      </c>
      <c r="E149" s="1" t="n">
        <v>46293</v>
      </c>
      <c r="F149" t="inlineStr">
        <is>
          <t>VÄSTRA GÖTALANDS LÄN</t>
        </is>
      </c>
      <c r="G149" t="inlineStr">
        <is>
          <t>ORUST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46293</v>
      </c>
      <c r="F150" t="inlineStr">
        <is>
          <t>VÄSTRA GÖTALANDS LÄN</t>
        </is>
      </c>
      <c r="G150" t="inlineStr">
        <is>
          <t>ORUST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46293</v>
      </c>
      <c r="F151" t="inlineStr">
        <is>
          <t>VÄSTRA GÖTALANDS LÄN</t>
        </is>
      </c>
      <c r="G151" t="inlineStr">
        <is>
          <t>ORUST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46293</v>
      </c>
      <c r="F152" t="inlineStr">
        <is>
          <t>VÄSTRA GÖTALANDS LÄN</t>
        </is>
      </c>
      <c r="G152" t="inlineStr">
        <is>
          <t>ORUST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46293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2026-09-28T02:01:06Z</dcterms:created>
  <dcterms:modified xmlns:dcterms="http://purl.org/dc/terms/" xmlns:xsi="http://www.w3.org/2001/XMLSchema-instance" xsi:type="dcterms:W3CDTF">2026-09-28T02:01:07Z</dcterms:modified>
</cp:coreProperties>
</file>