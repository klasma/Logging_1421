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46218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46218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Motaggsvamp
Svart trolldruva
Revlummer
Äkta lopplummer</t>
        </is>
      </c>
      <c r="V3">
        <f>HYPERLINK("https://klasma.github.io/Logging_1421/artfynd/A 49930-2024 artfynd.xlsx", "A 49930-2024")</f>
        <v/>
      </c>
      <c r="W3">
        <f>HYPERLINK("https://klasma.github.io/Logging_1421/kartor/A 49930-2024 karta.png", "A 49930-2024")</f>
        <v/>
      </c>
      <c r="Y3">
        <f>HYPERLINK("https://klasma.github.io/Logging_1421/klagomål/A 49930-2024 FSC-klagomål.docx", "A 49930-2024")</f>
        <v/>
      </c>
      <c r="Z3">
        <f>HYPERLINK("https://klasma.github.io/Logging_1421/klagomålsmail/A 49930-2024 FSC-klagomål mail.docx", "A 49930-2024")</f>
        <v/>
      </c>
      <c r="AA3">
        <f>HYPERLINK("https://klasma.github.io/Logging_1421/tillsyn/A 49930-2024 tillsynsbegäran.docx", "A 49930-2024")</f>
        <v/>
      </c>
      <c r="AB3">
        <f>HYPERLINK("https://klasma.github.io/Logging_1421/tillsynsmail/A 49930-2024 tillsynsbegäran mail.docx", "A 49930-2024")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46218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s="2" t="inlineStr">
        <is>
          <t>Dvärglin
Kösa
Åkerrödtoppa
Revlummer</t>
        </is>
      </c>
      <c r="V4">
        <f>HYPERLINK("https://klasma.github.io/Logging_1421/artfynd/A 74306-2021 artfynd.xlsx", "A 74306-2021")</f>
        <v/>
      </c>
      <c r="W4">
        <f>HYPERLINK("https://klasma.github.io/Logging_1421/kartor/A 74306-2021 karta.png", "A 74306-2021")</f>
        <v/>
      </c>
      <c r="Y4">
        <f>HYPERLINK("https://klasma.github.io/Logging_1421/klagomål/A 74306-2021 FSC-klagomål.docx", "A 74306-2021")</f>
        <v/>
      </c>
      <c r="Z4">
        <f>HYPERLINK("https://klasma.github.io/Logging_1421/klagomålsmail/A 74306-2021 FSC-klagomål mail.docx", "A 74306-2021")</f>
        <v/>
      </c>
      <c r="AA4">
        <f>HYPERLINK("https://klasma.github.io/Logging_1421/tillsyn/A 74306-2021 tillsynsbegäran.docx", "A 74306-2021")</f>
        <v/>
      </c>
      <c r="AB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46218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Blockskapania
Knärot
Grov fjädermossa
Stor revmossa</t>
        </is>
      </c>
      <c r="V5">
        <f>HYPERLINK("https://klasma.github.io/Logging_1421/artfynd/A 65099-2023 artfynd.xlsx", "A 65099-2023")</f>
        <v/>
      </c>
      <c r="W5">
        <f>HYPERLINK("https://klasma.github.io/Logging_1421/kartor/A 65099-2023 karta.png", "A 65099-2023")</f>
        <v/>
      </c>
      <c r="X5">
        <f>HYPERLINK("https://klasma.github.io/Logging_1421/knärot/A 65099-2023 karta knärot.png", "A 65099-2023")</f>
        <v/>
      </c>
      <c r="Y5">
        <f>HYPERLINK("https://klasma.github.io/Logging_1421/klagomål/A 65099-2023 FSC-klagomål.docx", "A 65099-2023")</f>
        <v/>
      </c>
      <c r="Z5">
        <f>HYPERLINK("https://klasma.github.io/Logging_1421/klagomålsmail/A 65099-2023 FSC-klagomål mail.docx", "A 65099-2023")</f>
        <v/>
      </c>
      <c r="AA5">
        <f>HYPERLINK("https://klasma.github.io/Logging_1421/tillsyn/A 65099-2023 tillsynsbegäran.docx", "A 65099-2023")</f>
        <v/>
      </c>
      <c r="AB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45014</v>
      </c>
      <c r="E6" s="1" t="n">
        <v>46218</v>
      </c>
      <c r="F6" t="inlineStr">
        <is>
          <t>VÄSTRA GÖTALANDS LÄN</t>
        </is>
      </c>
      <c r="G6" t="inlineStr">
        <is>
          <t>ORUST</t>
        </is>
      </c>
      <c r="I6" t="n">
        <v>3.2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6</v>
      </c>
      <c r="U6" s="2" t="inlineStr">
        <is>
          <t>Knärot
Grönsångare
Kambräken
Purpurmylia</t>
        </is>
      </c>
      <c r="V6">
        <f>HYPERLINK("https://klasma.github.io/Logging_1421/artfynd/A 14805-2023 artfynd.xlsx", "A 14805-2023")</f>
        <v/>
      </c>
      <c r="W6">
        <f>HYPERLINK("https://klasma.github.io/Logging_1421/kartor/A 14805-2023 karta.png", "A 14805-2023")</f>
        <v/>
      </c>
      <c r="X6">
        <f>HYPERLINK("https://klasma.github.io/Logging_1421/knärot/A 14805-2023 karta knärot.png", "A 14805-2023")</f>
        <v/>
      </c>
      <c r="Y6">
        <f>HYPERLINK("https://klasma.github.io/Logging_1421/klagomål/A 14805-2023 FSC-klagomål.docx", "A 14805-2023")</f>
        <v/>
      </c>
      <c r="Z6">
        <f>HYPERLINK("https://klasma.github.io/Logging_1421/klagomålsmail/A 14805-2023 FSC-klagomål mail.docx", "A 14805-2023")</f>
        <v/>
      </c>
      <c r="AA6">
        <f>HYPERLINK("https://klasma.github.io/Logging_1421/tillsyn/A 14805-2023 tillsynsbegäran.docx", "A 14805-2023")</f>
        <v/>
      </c>
      <c r="AB6">
        <f>HYPERLINK("https://klasma.github.io/Logging_1421/tillsynsmail/A 14805-2023 tillsynsbegäran mail.docx", "A 14805-2023")</f>
        <v/>
      </c>
      <c r="AC6">
        <f>HYPERLINK("https://klasma.github.io/Logging_1421/fåglar/A 14805-2023 prioriterade fågelarter.docx", "A 14805-2023")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46218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46218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46218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Björktrast
Rödvingetrast
Gröngöling</t>
        </is>
      </c>
      <c r="V9">
        <f>HYPERLINK("https://klasma.github.io/Logging_1421/artfynd/A 63419-2023 artfynd.xlsx", "A 63419-2023")</f>
        <v/>
      </c>
      <c r="W9">
        <f>HYPERLINK("https://klasma.github.io/Logging_1421/kartor/A 63419-2023 karta.png", "A 63419-2023")</f>
        <v/>
      </c>
      <c r="Y9">
        <f>HYPERLINK("https://klasma.github.io/Logging_1421/klagomål/A 63419-2023 FSC-klagomål.docx", "A 63419-2023")</f>
        <v/>
      </c>
      <c r="Z9">
        <f>HYPERLINK("https://klasma.github.io/Logging_1421/klagomålsmail/A 63419-2023 FSC-klagomål mail.docx", "A 63419-2023")</f>
        <v/>
      </c>
      <c r="AA9">
        <f>HYPERLINK("https://klasma.github.io/Logging_1421/tillsyn/A 63419-2023 tillsynsbegäran.docx", "A 63419-2023")</f>
        <v/>
      </c>
      <c r="AB9">
        <f>HYPERLINK("https://klasma.github.io/Logging_1421/tillsynsmail/A 63419-2023 tillsynsbegäran mail.docx", "A 63419-2023")</f>
        <v/>
      </c>
      <c r="AC9">
        <f>HYPERLINK("https://klasma.github.io/Logging_1421/fåglar/A 63419-2023 prioriterade fågelarter.docx", "A 63419-2023")</f>
        <v/>
      </c>
    </row>
    <row r="10" ht="15" customHeight="1">
      <c r="A10" t="inlineStr">
        <is>
          <t>A 45044-2021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44439</v>
      </c>
      <c r="E10" s="1" t="n">
        <v>46218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Kungsörn</t>
        </is>
      </c>
      <c r="V10">
        <f>HYPERLINK("https://klasma.github.io/Logging_1421/artfynd/A 45044-2021 artfynd.xlsx", "A 45044-2021")</f>
        <v/>
      </c>
      <c r="W10">
        <f>HYPERLINK("https://klasma.github.io/Logging_1421/kartor/A 45044-2021 karta.png", "A 45044-2021")</f>
        <v/>
      </c>
      <c r="Y10">
        <f>HYPERLINK("https://klasma.github.io/Logging_1421/klagomål/A 45044-2021 FSC-klagomål.docx", "A 45044-2021")</f>
        <v/>
      </c>
      <c r="Z10">
        <f>HYPERLINK("https://klasma.github.io/Logging_1421/klagomålsmail/A 45044-2021 FSC-klagomål mail.docx", "A 45044-2021")</f>
        <v/>
      </c>
      <c r="AA10">
        <f>HYPERLINK("https://klasma.github.io/Logging_1421/tillsyn/A 45044-2021 tillsynsbegäran.docx", "A 45044-2021")</f>
        <v/>
      </c>
      <c r="AB10">
        <f>HYPERLINK("https://klasma.github.io/Logging_1421/tillsynsmail/A 45044-2021 tillsynsbegäran mail.docx", "A 45044-2021")</f>
        <v/>
      </c>
      <c r="AC10">
        <f>HYPERLINK("https://klasma.github.io/Logging_1421/fåglar/A 45044-2021 prioriterade fågelarter.docx", "A 45044-2021")</f>
        <v/>
      </c>
    </row>
    <row r="11" ht="15" customHeight="1">
      <c r="A11" t="inlineStr">
        <is>
          <t>A 44233-2023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46218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HYPERLINK("https://klasma.github.io/Logging_1421/artfynd/A 44233-2023 artfynd.xlsx", "A 44233-2023")</f>
        <v/>
      </c>
      <c r="W11">
        <f>HYPERLINK("https://klasma.github.io/Logging_1421/kartor/A 44233-2023 karta.png", "A 44233-2023")</f>
        <v/>
      </c>
      <c r="X11">
        <f>HYPERLINK("https://klasma.github.io/Logging_1421/knärot/A 44233-2023 karta knärot.png", "A 44233-2023")</f>
        <v/>
      </c>
      <c r="Y11">
        <f>HYPERLINK("https://klasma.github.io/Logging_1421/klagomål/A 44233-2023 FSC-klagomål.docx", "A 44233-2023")</f>
        <v/>
      </c>
      <c r="Z11">
        <f>HYPERLINK("https://klasma.github.io/Logging_1421/klagomålsmail/A 44233-2023 FSC-klagomål mail.docx", "A 44233-2023")</f>
        <v/>
      </c>
      <c r="AA11">
        <f>HYPERLINK("https://klasma.github.io/Logging_1421/tillsyn/A 44233-2023 tillsynsbegäran.docx", "A 44233-2023")</f>
        <v/>
      </c>
      <c r="AB11">
        <f>HYPERLINK("https://klasma.github.io/Logging_1421/tillsynsmail/A 44233-2023 tillsynsbegäran mail.docx", "A 44233-2023")</f>
        <v/>
      </c>
    </row>
    <row r="12" ht="15" customHeight="1">
      <c r="A12" t="inlineStr">
        <is>
          <t>A 5634-2025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45693</v>
      </c>
      <c r="E12" s="1" t="n">
        <v>46218</v>
      </c>
      <c r="F12" t="inlineStr">
        <is>
          <t>VÄSTRA GÖTALANDS LÄN</t>
        </is>
      </c>
      <c r="G12" t="inlineStr">
        <is>
          <t>ORUST</t>
        </is>
      </c>
      <c r="I12" t="n">
        <v>3.1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HYPERLINK("https://klasma.github.io/Logging_1421/artfynd/A 5634-2025 artfynd.xlsx", "A 5634-2025")</f>
        <v/>
      </c>
      <c r="W12">
        <f>HYPERLINK("https://klasma.github.io/Logging_1421/kartor/A 5634-2025 karta.png", "A 5634-2025")</f>
        <v/>
      </c>
      <c r="X12">
        <f>HYPERLINK("https://klasma.github.io/Logging_1421/knärot/A 5634-2025 karta knärot.png", "A 5634-2025")</f>
        <v/>
      </c>
      <c r="Y12">
        <f>HYPERLINK("https://klasma.github.io/Logging_1421/klagomål/A 5634-2025 FSC-klagomål.docx", "A 5634-2025")</f>
        <v/>
      </c>
      <c r="Z12">
        <f>HYPERLINK("https://klasma.github.io/Logging_1421/klagomålsmail/A 5634-2025 FSC-klagomål mail.docx", "A 5634-2025")</f>
        <v/>
      </c>
      <c r="AA12">
        <f>HYPERLINK("https://klasma.github.io/Logging_1421/tillsyn/A 5634-2025 tillsynsbegäran.docx", "A 5634-2025")</f>
        <v/>
      </c>
      <c r="AB12">
        <f>HYPERLINK("https://klasma.github.io/Logging_1421/tillsynsmail/A 5634-2025 tillsynsbegäran mail.docx", "A 5634-2025")</f>
        <v/>
      </c>
    </row>
    <row r="13" ht="15" customHeight="1">
      <c r="A13" t="inlineStr">
        <is>
          <t>A 20086-2023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45054</v>
      </c>
      <c r="E13" s="1" t="n">
        <v>46218</v>
      </c>
      <c r="F13" t="inlineStr">
        <is>
          <t>VÄSTRA GÖTALANDS LÄN</t>
        </is>
      </c>
      <c r="G13" t="inlineStr">
        <is>
          <t>ORUST</t>
        </is>
      </c>
      <c r="I13" t="n">
        <v>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Knärot</t>
        </is>
      </c>
      <c r="V13">
        <f>HYPERLINK("https://klasma.github.io/Logging_1421/artfynd/A 20086-2023 artfynd.xlsx", "A 20086-2023")</f>
        <v/>
      </c>
      <c r="W13">
        <f>HYPERLINK("https://klasma.github.io/Logging_1421/kartor/A 20086-2023 karta.png", "A 20086-2023")</f>
        <v/>
      </c>
      <c r="X13">
        <f>HYPERLINK("https://klasma.github.io/Logging_1421/knärot/A 20086-2023 karta knärot.png", "A 20086-2023")</f>
        <v/>
      </c>
      <c r="Y13">
        <f>HYPERLINK("https://klasma.github.io/Logging_1421/klagomål/A 20086-2023 FSC-klagomål.docx", "A 20086-2023")</f>
        <v/>
      </c>
      <c r="Z13">
        <f>HYPERLINK("https://klasma.github.io/Logging_1421/klagomålsmail/A 20086-2023 FSC-klagomål mail.docx", "A 20086-2023")</f>
        <v/>
      </c>
      <c r="AA13">
        <f>HYPERLINK("https://klasma.github.io/Logging_1421/tillsyn/A 20086-2023 tillsynsbegäran.docx", "A 20086-2023")</f>
        <v/>
      </c>
      <c r="AB13">
        <f>HYPERLINK("https://klasma.github.io/Logging_1421/tillsynsmail/A 20086-2023 tillsynsbegäran mail.docx", "A 20086-2023")</f>
        <v/>
      </c>
    </row>
    <row r="14" ht="15" customHeight="1">
      <c r="A14" t="inlineStr">
        <is>
          <t>A 13243-2023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45002</v>
      </c>
      <c r="E14" s="1" t="n">
        <v>46218</v>
      </c>
      <c r="F14" t="inlineStr">
        <is>
          <t>VÄSTRA GÖTALANDS LÄN</t>
        </is>
      </c>
      <c r="G14" t="inlineStr">
        <is>
          <t>ORUST</t>
        </is>
      </c>
      <c r="I14" t="n">
        <v>4.8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Svinrot</t>
        </is>
      </c>
      <c r="V14">
        <f>HYPERLINK("https://klasma.github.io/Logging_1421/artfynd/A 13243-2023 artfynd.xlsx", "A 13243-2023")</f>
        <v/>
      </c>
      <c r="W14">
        <f>HYPERLINK("https://klasma.github.io/Logging_1421/kartor/A 13243-2023 karta.png", "A 13243-2023")</f>
        <v/>
      </c>
      <c r="Y14">
        <f>HYPERLINK("https://klasma.github.io/Logging_1421/klagomål/A 13243-2023 FSC-klagomål.docx", "A 13243-2023")</f>
        <v/>
      </c>
      <c r="Z14">
        <f>HYPERLINK("https://klasma.github.io/Logging_1421/klagomålsmail/A 13243-2023 FSC-klagomål mail.docx", "A 13243-2023")</f>
        <v/>
      </c>
      <c r="AA14">
        <f>HYPERLINK("https://klasma.github.io/Logging_1421/tillsyn/A 13243-2023 tillsynsbegäran.docx", "A 13243-2023")</f>
        <v/>
      </c>
      <c r="AB14">
        <f>HYPERLINK("https://klasma.github.io/Logging_1421/tillsynsmail/A 13243-2023 tillsynsbegäran mail.docx", "A 13243-2023")</f>
        <v/>
      </c>
    </row>
    <row r="15" ht="15" customHeight="1">
      <c r="A15" t="inlineStr">
        <is>
          <t>A 40270-2024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45554</v>
      </c>
      <c r="E15" s="1" t="n">
        <v>46218</v>
      </c>
      <c r="F15" t="inlineStr">
        <is>
          <t>VÄSTRA GÖTALANDS LÄN</t>
        </is>
      </c>
      <c r="G15" t="inlineStr">
        <is>
          <t>ORUST</t>
        </is>
      </c>
      <c r="I15" t="n">
        <v>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HYPERLINK("https://klasma.github.io/Logging_1421/artfynd/A 40270-2024 artfynd.xlsx", "A 40270-2024")</f>
        <v/>
      </c>
      <c r="W15">
        <f>HYPERLINK("https://klasma.github.io/Logging_1421/kartor/A 40270-2024 karta.png", "A 40270-2024")</f>
        <v/>
      </c>
      <c r="X15">
        <f>HYPERLINK("https://klasma.github.io/Logging_1421/knärot/A 40270-2024 karta knärot.png", "A 40270-2024")</f>
        <v/>
      </c>
      <c r="Y15">
        <f>HYPERLINK("https://klasma.github.io/Logging_1421/klagomål/A 40270-2024 FSC-klagomål.docx", "A 40270-2024")</f>
        <v/>
      </c>
      <c r="Z15">
        <f>HYPERLINK("https://klasma.github.io/Logging_1421/klagomålsmail/A 40270-2024 FSC-klagomål mail.docx", "A 40270-2024")</f>
        <v/>
      </c>
      <c r="AA15">
        <f>HYPERLINK("https://klasma.github.io/Logging_1421/tillsyn/A 40270-2024 tillsynsbegäran.docx", "A 40270-2024")</f>
        <v/>
      </c>
      <c r="AB15">
        <f>HYPERLINK("https://klasma.github.io/Logging_1421/tillsynsmail/A 40270-2024 tillsynsbegäran mail.docx", "A 40270-2024")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46218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HYPERLINK("https://klasma.github.io/Logging_1421/artfynd/A 771-2023 artfynd.xlsx", "A 771-2023")</f>
        <v/>
      </c>
      <c r="W16">
        <f>HYPERLINK("https://klasma.github.io/Logging_1421/kartor/A 771-2023 karta.png", "A 771-2023")</f>
        <v/>
      </c>
      <c r="Y16">
        <f>HYPERLINK("https://klasma.github.io/Logging_1421/klagomål/A 771-2023 FSC-klagomål.docx", "A 771-2023")</f>
        <v/>
      </c>
      <c r="Z16">
        <f>HYPERLINK("https://klasma.github.io/Logging_1421/klagomålsmail/A 771-2023 FSC-klagomål mail.docx", "A 771-2023")</f>
        <v/>
      </c>
      <c r="AA16">
        <f>HYPERLINK("https://klasma.github.io/Logging_1421/tillsyn/A 771-2023 tillsynsbegäran.docx", "A 771-2023")</f>
        <v/>
      </c>
      <c r="AB16">
        <f>HYPERLINK("https://klasma.github.io/Logging_1421/tillsynsmail/A 771-2023 tillsynsbegäran mail.docx", "A 771-2023")</f>
        <v/>
      </c>
      <c r="AC16">
        <f>HYPERLINK("https://klasma.github.io/Logging_1421/fåglar/A 771-2023 prioriterade fågelarter.docx", "A 771-2023")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46218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HYPERLINK("https://klasma.github.io/Logging_1421/artfynd/A 49047-2025 artfynd.xlsx", "A 49047-2025")</f>
        <v/>
      </c>
      <c r="W17">
        <f>HYPERLINK("https://klasma.github.io/Logging_1421/kartor/A 49047-2025 karta.png", "A 49047-2025")</f>
        <v/>
      </c>
      <c r="Y17">
        <f>HYPERLINK("https://klasma.github.io/Logging_1421/klagomål/A 49047-2025 FSC-klagomål.docx", "A 49047-2025")</f>
        <v/>
      </c>
      <c r="Z17">
        <f>HYPERLINK("https://klasma.github.io/Logging_1421/klagomålsmail/A 49047-2025 FSC-klagomål mail.docx", "A 49047-2025")</f>
        <v/>
      </c>
      <c r="AA17">
        <f>HYPERLINK("https://klasma.github.io/Logging_1421/tillsyn/A 49047-2025 tillsynsbegäran.docx", "A 49047-2025")</f>
        <v/>
      </c>
      <c r="AB17">
        <f>HYPERLINK("https://klasma.github.io/Logging_1421/tillsynsmail/A 49047-2025 tillsynsbegäran mail.docx", "A 49047-2025")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46218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s="2" t="inlineStr">
        <is>
          <t>Knärot</t>
        </is>
      </c>
      <c r="V18">
        <f>HYPERLINK("https://klasma.github.io/Logging_1421/artfynd/A 13220-2024 artfynd.xlsx", "A 13220-2024")</f>
        <v/>
      </c>
      <c r="W18">
        <f>HYPERLINK("https://klasma.github.io/Logging_1421/kartor/A 13220-2024 karta.png", "A 13220-2024")</f>
        <v/>
      </c>
      <c r="X18">
        <f>HYPERLINK("https://klasma.github.io/Logging_1421/knärot/A 13220-2024 karta knärot.png", "A 13220-2024")</f>
        <v/>
      </c>
      <c r="Y18">
        <f>HYPERLINK("https://klasma.github.io/Logging_1421/klagomål/A 13220-2024 FSC-klagomål.docx", "A 13220-2024")</f>
        <v/>
      </c>
      <c r="Z18">
        <f>HYPERLINK("https://klasma.github.io/Logging_1421/klagomålsmail/A 13220-2024 FSC-klagomål mail.docx", "A 13220-2024")</f>
        <v/>
      </c>
      <c r="AA18">
        <f>HYPERLINK("https://klasma.github.io/Logging_1421/tillsyn/A 13220-2024 tillsynsbegäran.docx", "A 13220-2024")</f>
        <v/>
      </c>
      <c r="AB18">
        <f>HYPERLINK("https://klasma.github.io/Logging_1421/tillsynsmail/A 13220-2024 tillsynsbegäran mail.docx", "A 13220-2024")</f>
        <v/>
      </c>
    </row>
    <row r="19" ht="15" customHeight="1">
      <c r="A19" t="inlineStr">
        <is>
          <t>A 24618-2024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46218</v>
      </c>
      <c r="F19" t="inlineStr">
        <is>
          <t>VÄSTRA GÖTALANDS LÄN</t>
        </is>
      </c>
      <c r="G19" t="inlineStr">
        <is>
          <t>ORUST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HYPERLINK("https://klasma.github.io/Logging_1421/artfynd/A 24618-2024 artfynd.xlsx", "A 24618-2024")</f>
        <v/>
      </c>
      <c r="W19">
        <f>HYPERLINK("https://klasma.github.io/Logging_1421/kartor/A 24618-2024 karta.png", "A 24618-2024")</f>
        <v/>
      </c>
      <c r="Y19">
        <f>HYPERLINK("https://klasma.github.io/Logging_1421/klagomål/A 24618-2024 FSC-klagomål.docx", "A 24618-2024")</f>
        <v/>
      </c>
      <c r="Z19">
        <f>HYPERLINK("https://klasma.github.io/Logging_1421/klagomålsmail/A 24618-2024 FSC-klagomål mail.docx", "A 24618-2024")</f>
        <v/>
      </c>
      <c r="AA19">
        <f>HYPERLINK("https://klasma.github.io/Logging_1421/tillsyn/A 24618-2024 tillsynsbegäran.docx", "A 24618-2024")</f>
        <v/>
      </c>
      <c r="AB19">
        <f>HYPERLINK("https://klasma.github.io/Logging_1421/tillsynsmail/A 24618-2024 tillsynsbegäran mail.docx", "A 24618-2024")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46218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s="2" t="inlineStr">
        <is>
          <t>Knärot</t>
        </is>
      </c>
      <c r="V20">
        <f>HYPERLINK("https://klasma.github.io/Logging_1421/artfynd/A 20709-2023 artfynd.xlsx", "A 20709-2023")</f>
        <v/>
      </c>
      <c r="W20">
        <f>HYPERLINK("https://klasma.github.io/Logging_1421/kartor/A 20709-2023 karta.png", "A 20709-2023")</f>
        <v/>
      </c>
      <c r="X20">
        <f>HYPERLINK("https://klasma.github.io/Logging_1421/knärot/A 20709-2023 karta knärot.png", "A 20709-2023")</f>
        <v/>
      </c>
      <c r="Y20">
        <f>HYPERLINK("https://klasma.github.io/Logging_1421/klagomål/A 20709-2023 FSC-klagomål.docx", "A 20709-2023")</f>
        <v/>
      </c>
      <c r="Z20">
        <f>HYPERLINK("https://klasma.github.io/Logging_1421/klagomålsmail/A 20709-2023 FSC-klagomål mail.docx", "A 20709-2023")</f>
        <v/>
      </c>
      <c r="AA20">
        <f>HYPERLINK("https://klasma.github.io/Logging_1421/tillsyn/A 20709-2023 tillsynsbegäran.docx", "A 20709-2023")</f>
        <v/>
      </c>
      <c r="AB20">
        <f>HYPERLINK("https://klasma.github.io/Logging_1421/tillsynsmail/A 20709-2023 tillsynsbegäran mail.docx", "A 20709-2023")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46218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HYPERLINK("https://klasma.github.io/Logging_1421/artfynd/A 5617-2024 artfynd.xlsx", "A 5617-2024")</f>
        <v/>
      </c>
      <c r="W21">
        <f>HYPERLINK("https://klasma.github.io/Logging_1421/kartor/A 5617-2024 karta.png", "A 5617-2024")</f>
        <v/>
      </c>
      <c r="X21">
        <f>HYPERLINK("https://klasma.github.io/Logging_1421/knärot/A 5617-2024 karta knärot.png", "A 5617-2024")</f>
        <v/>
      </c>
      <c r="Y21">
        <f>HYPERLINK("https://klasma.github.io/Logging_1421/klagomål/A 5617-2024 FSC-klagomål.docx", "A 5617-2024")</f>
        <v/>
      </c>
      <c r="Z21">
        <f>HYPERLINK("https://klasma.github.io/Logging_1421/klagomålsmail/A 5617-2024 FSC-klagomål mail.docx", "A 5617-2024")</f>
        <v/>
      </c>
      <c r="AA21">
        <f>HYPERLINK("https://klasma.github.io/Logging_1421/tillsyn/A 5617-2024 tillsynsbegäran.docx", "A 5617-2024")</f>
        <v/>
      </c>
      <c r="AB21">
        <f>HYPERLINK("https://klasma.github.io/Logging_1421/tillsynsmail/A 5617-2024 tillsynsbegäran mail.docx", "A 5617-2024")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46218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s="2" t="inlineStr">
        <is>
          <t>Knärot</t>
        </is>
      </c>
      <c r="V22">
        <f>HYPERLINK("https://klasma.github.io/Logging_1421/artfynd/A 56035-2025 artfynd.xlsx", "A 56035-2025")</f>
        <v/>
      </c>
      <c r="W22">
        <f>HYPERLINK("https://klasma.github.io/Logging_1421/kartor/A 56035-2025 karta.png", "A 56035-2025")</f>
        <v/>
      </c>
      <c r="X22">
        <f>HYPERLINK("https://klasma.github.io/Logging_1421/knärot/A 56035-2025 karta knärot.png", "A 56035-2025")</f>
        <v/>
      </c>
      <c r="Y22">
        <f>HYPERLINK("https://klasma.github.io/Logging_1421/klagomål/A 56035-2025 FSC-klagomål.docx", "A 56035-2025")</f>
        <v/>
      </c>
      <c r="Z22">
        <f>HYPERLINK("https://klasma.github.io/Logging_1421/klagomålsmail/A 56035-2025 FSC-klagomål mail.docx", "A 56035-2025")</f>
        <v/>
      </c>
      <c r="AA22">
        <f>HYPERLINK("https://klasma.github.io/Logging_1421/tillsyn/A 56035-2025 tillsynsbegäran.docx", "A 56035-2025")</f>
        <v/>
      </c>
      <c r="AB22">
        <f>HYPERLINK("https://klasma.github.io/Logging_1421/tillsynsmail/A 56035-2025 tillsynsbegäran mail.docx", "A 56035-2025")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46218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Grönpyrola</t>
        </is>
      </c>
      <c r="V23">
        <f>HYPERLINK("https://klasma.github.io/Logging_1421/artfynd/A 41056-2025 artfynd.xlsx", "A 41056-2025")</f>
        <v/>
      </c>
      <c r="W23">
        <f>HYPERLINK("https://klasma.github.io/Logging_1421/kartor/A 41056-2025 karta.png", "A 41056-2025")</f>
        <v/>
      </c>
      <c r="Y23">
        <f>HYPERLINK("https://klasma.github.io/Logging_1421/klagomål/A 41056-2025 FSC-klagomål.docx", "A 41056-2025")</f>
        <v/>
      </c>
      <c r="Z23">
        <f>HYPERLINK("https://klasma.github.io/Logging_1421/klagomålsmail/A 41056-2025 FSC-klagomål mail.docx", "A 41056-2025")</f>
        <v/>
      </c>
      <c r="AA23">
        <f>HYPERLINK("https://klasma.github.io/Logging_1421/tillsyn/A 41056-2025 tillsynsbegäran.docx", "A 41056-2025")</f>
        <v/>
      </c>
      <c r="AB23">
        <f>HYPERLINK("https://klasma.github.io/Logging_1421/tillsynsmail/A 41056-2025 tillsynsbegäran mail.docx", "A 41056-2025")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46218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Västlig hakmossa</t>
        </is>
      </c>
      <c r="V24">
        <f>HYPERLINK("https://klasma.github.io/Logging_1421/artfynd/A 23921-2026 artfynd.xlsx", "A 23921-2026")</f>
        <v/>
      </c>
      <c r="W24">
        <f>HYPERLINK("https://klasma.github.io/Logging_1421/kartor/A 23921-2026 karta.png", "A 23921-2026")</f>
        <v/>
      </c>
      <c r="Y24">
        <f>HYPERLINK("https://klasma.github.io/Logging_1421/klagomål/A 23921-2026 FSC-klagomål.docx", "A 23921-2026")</f>
        <v/>
      </c>
      <c r="Z24">
        <f>HYPERLINK("https://klasma.github.io/Logging_1421/klagomålsmail/A 23921-2026 FSC-klagomål mail.docx", "A 23921-2026")</f>
        <v/>
      </c>
      <c r="AA24">
        <f>HYPERLINK("https://klasma.github.io/Logging_1421/tillsyn/A 23921-2026 tillsynsbegäran.docx", "A 23921-2026")</f>
        <v/>
      </c>
      <c r="AB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46218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Mörk husmossa</t>
        </is>
      </c>
      <c r="V25">
        <f>HYPERLINK("https://klasma.github.io/Logging_1421/artfynd/A 31028-2026 artfynd.xlsx", "A 31028-2026")</f>
        <v/>
      </c>
      <c r="W25">
        <f>HYPERLINK("https://klasma.github.io/Logging_1421/kartor/A 31028-2026 karta.png", "A 31028-2026")</f>
        <v/>
      </c>
      <c r="Y25">
        <f>HYPERLINK("https://klasma.github.io/Logging_1421/klagomål/A 31028-2026 FSC-klagomål.docx", "A 31028-2026")</f>
        <v/>
      </c>
      <c r="Z25">
        <f>HYPERLINK("https://klasma.github.io/Logging_1421/klagomålsmail/A 31028-2026 FSC-klagomål mail.docx", "A 31028-2026")</f>
        <v/>
      </c>
      <c r="AA25">
        <f>HYPERLINK("https://klasma.github.io/Logging_1421/tillsyn/A 31028-2026 tillsynsbegäran.docx", "A 31028-2026")</f>
        <v/>
      </c>
      <c r="AB25">
        <f>HYPERLINK("https://klasma.github.io/Logging_1421/tillsynsmail/A 31028-2026 tillsynsbegäran mail.docx", "A 31028-2026")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46218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HYPERLINK("https://klasma.github.io/Logging_1421/artfynd/A 12722-2026 artfynd.xlsx", "A 12722-2026")</f>
        <v/>
      </c>
      <c r="W26">
        <f>HYPERLINK("https://klasma.github.io/Logging_1421/kartor/A 12722-2026 karta.png", "A 12722-2026")</f>
        <v/>
      </c>
      <c r="X26">
        <f>HYPERLINK("https://klasma.github.io/Logging_1421/knärot/A 12722-2026 karta knärot.png", "A 12722-2026")</f>
        <v/>
      </c>
      <c r="Y26">
        <f>HYPERLINK("https://klasma.github.io/Logging_1421/klagomål/A 12722-2026 FSC-klagomål.docx", "A 12722-2026")</f>
        <v/>
      </c>
      <c r="Z26">
        <f>HYPERLINK("https://klasma.github.io/Logging_1421/klagomålsmail/A 12722-2026 FSC-klagomål mail.docx", "A 12722-2026")</f>
        <v/>
      </c>
      <c r="AA26">
        <f>HYPERLINK("https://klasma.github.io/Logging_1421/tillsyn/A 12722-2026 tillsynsbegäran.docx", "A 12722-2026")</f>
        <v/>
      </c>
      <c r="AB26">
        <f>HYPERLINK("https://klasma.github.io/Logging_1421/tillsynsmail/A 12722-2026 tillsynsbegäran mail.docx", "A 12722-2026")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46218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HYPERLINK("https://klasma.github.io/Logging_1421/artfynd/S 1552-2024 artfynd.xlsx", "S 1552-2024")</f>
        <v/>
      </c>
      <c r="W27">
        <f>HYPERLINK("https://klasma.github.io/Logging_1421/kartor/S 1552-2024 karta.png", "S 1552-2024")</f>
        <v/>
      </c>
      <c r="X27">
        <f>HYPERLINK("https://klasma.github.io/Logging_1421/knärot/S 1552-2024 karta knärot.png", "S 1552-2024")</f>
        <v/>
      </c>
      <c r="Y27">
        <f>HYPERLINK("https://klasma.github.io/Logging_1421/klagomål/S 1552-2024 FSC-klagomål.docx", "S 1552-2024")</f>
        <v/>
      </c>
      <c r="Z27">
        <f>HYPERLINK("https://klasma.github.io/Logging_1421/klagomålsmail/S 1552-2024 FSC-klagomål mail.docx", "S 1552-2024")</f>
        <v/>
      </c>
      <c r="AA27">
        <f>HYPERLINK("https://klasma.github.io/Logging_1421/tillsyn/S 1552-2024 tillsynsbegäran.docx", "S 1552-2024")</f>
        <v/>
      </c>
      <c r="AB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46218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46218</v>
      </c>
      <c r="F29" t="inlineStr">
        <is>
          <t>VÄSTRA GÖTALANDS LÄN</t>
        </is>
      </c>
      <c r="G29" t="inlineStr">
        <is>
          <t>ORUST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46218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47876-2021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46218</v>
      </c>
      <c r="F31" t="inlineStr">
        <is>
          <t>VÄSTRA GÖTALANDS LÄN</t>
        </is>
      </c>
      <c r="G31" t="inlineStr">
        <is>
          <t>ORUST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46218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46218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55791-2022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46218</v>
      </c>
      <c r="F34" t="inlineStr">
        <is>
          <t>VÄSTRA GÖTALANDS LÄN</t>
        </is>
      </c>
      <c r="G34" t="inlineStr">
        <is>
          <t>ORUST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44505</v>
      </c>
      <c r="E35" s="1" t="n">
        <v>46218</v>
      </c>
      <c r="F35" t="inlineStr">
        <is>
          <t>VÄSTRA GÖTALANDS LÄN</t>
        </is>
      </c>
      <c r="G35" t="inlineStr">
        <is>
          <t>ORUST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46218</v>
      </c>
      <c r="F36" t="inlineStr">
        <is>
          <t>VÄSTRA GÖTALANDS LÄN</t>
        </is>
      </c>
      <c r="G36" t="inlineStr">
        <is>
          <t>ORUST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46218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47877-2021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46218</v>
      </c>
      <c r="F38" t="inlineStr">
        <is>
          <t>VÄSTRA GÖTALANDS LÄN</t>
        </is>
      </c>
      <c r="G38" t="inlineStr">
        <is>
          <t>ORUST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46218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46218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46218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46218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52012-2022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44872</v>
      </c>
      <c r="E43" s="1" t="n">
        <v>46218</v>
      </c>
      <c r="F43" t="inlineStr">
        <is>
          <t>VÄSTRA GÖTALANDS LÄN</t>
        </is>
      </c>
      <c r="G43" t="inlineStr">
        <is>
          <t>ORUST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62369-2023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45268</v>
      </c>
      <c r="E44" s="1" t="n">
        <v>46218</v>
      </c>
      <c r="F44" t="inlineStr">
        <is>
          <t>VÄSTRA GÖTALANDS LÄN</t>
        </is>
      </c>
      <c r="G44" t="inlineStr">
        <is>
          <t>ORUST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47882-2021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46218</v>
      </c>
      <c r="F45" t="inlineStr">
        <is>
          <t>VÄSTRA GÖTALANDS LÄN</t>
        </is>
      </c>
      <c r="G45" t="inlineStr">
        <is>
          <t>ORUST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47883-2021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46218</v>
      </c>
      <c r="F46" t="inlineStr">
        <is>
          <t>VÄSTRA GÖTALANDS LÄN</t>
        </is>
      </c>
      <c r="G46" t="inlineStr">
        <is>
          <t>ORUST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45729-2021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44441</v>
      </c>
      <c r="E47" s="1" t="n">
        <v>46218</v>
      </c>
      <c r="F47" t="inlineStr">
        <is>
          <t>VÄSTRA GÖTALANDS LÄN</t>
        </is>
      </c>
      <c r="G47" t="inlineStr">
        <is>
          <t>ORUST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62516-2022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44924</v>
      </c>
      <c r="E48" s="1" t="n">
        <v>46218</v>
      </c>
      <c r="F48" t="inlineStr">
        <is>
          <t>VÄSTRA GÖTALANDS LÄN</t>
        </is>
      </c>
      <c r="G48" t="inlineStr">
        <is>
          <t>ORUST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46218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49134-2021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44453</v>
      </c>
      <c r="E50" s="1" t="n">
        <v>46218</v>
      </c>
      <c r="F50" t="inlineStr">
        <is>
          <t>VÄSTRA GÖTALANDS LÄN</t>
        </is>
      </c>
      <c r="G50" t="inlineStr">
        <is>
          <t>ORUST</t>
        </is>
      </c>
      <c r="H50" t="inlineStr">
        <is>
          <t>Kommuner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14547-2022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44655</v>
      </c>
      <c r="E51" s="1" t="n">
        <v>46218</v>
      </c>
      <c r="F51" t="inlineStr">
        <is>
          <t>VÄSTRA GÖTALANDS LÄN</t>
        </is>
      </c>
      <c r="G51" t="inlineStr">
        <is>
          <t>ORUST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57877-2022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44899</v>
      </c>
      <c r="E52" s="1" t="n">
        <v>46218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18791-2023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45044</v>
      </c>
      <c r="E53" s="1" t="n">
        <v>46218</v>
      </c>
      <c r="F53" t="inlineStr">
        <is>
          <t>VÄSTRA GÖTALANDS LÄN</t>
        </is>
      </c>
      <c r="G53" t="inlineStr">
        <is>
          <t>ORUST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40338-2025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46218</v>
      </c>
      <c r="F54" t="inlineStr">
        <is>
          <t>VÄSTRA GÖTALANDS LÄN</t>
        </is>
      </c>
      <c r="G54" t="inlineStr">
        <is>
          <t>ORUST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46218</v>
      </c>
      <c r="F55" t="inlineStr">
        <is>
          <t>VÄSTRA GÖTALANDS LÄN</t>
        </is>
      </c>
      <c r="G55" t="inlineStr">
        <is>
          <t>ORUST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45343</v>
      </c>
      <c r="E56" s="1" t="n">
        <v>46218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28109-2024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46218</v>
      </c>
      <c r="F57" t="inlineStr">
        <is>
          <t>VÄSTRA GÖTALANDS LÄN</t>
        </is>
      </c>
      <c r="G57" t="inlineStr">
        <is>
          <t>ORUST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22750-2024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46218</v>
      </c>
      <c r="F58" t="inlineStr">
        <is>
          <t>VÄSTRA GÖTALANDS LÄN</t>
        </is>
      </c>
      <c r="G58" t="inlineStr">
        <is>
          <t>ORUST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36999-2023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46218</v>
      </c>
      <c r="F59" t="inlineStr">
        <is>
          <t>VÄSTRA GÖTALANDS LÄN</t>
        </is>
      </c>
      <c r="G59" t="inlineStr">
        <is>
          <t>ORUST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46218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47884-2024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46218</v>
      </c>
      <c r="F61" t="inlineStr">
        <is>
          <t>VÄSTRA GÖTALANDS LÄN</t>
        </is>
      </c>
      <c r="G61" t="inlineStr">
        <is>
          <t>ORUST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46218</v>
      </c>
      <c r="F62" t="inlineStr">
        <is>
          <t>VÄSTRA GÖTALANDS LÄN</t>
        </is>
      </c>
      <c r="G62" t="inlineStr">
        <is>
          <t>ORUST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19005-2023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45045</v>
      </c>
      <c r="E63" s="1" t="n">
        <v>46218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42457-2025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46218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59309-2023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45253</v>
      </c>
      <c r="E65" s="1" t="n">
        <v>46218</v>
      </c>
      <c r="F65" t="inlineStr">
        <is>
          <t>VÄSTRA GÖTALANDS LÄN</t>
        </is>
      </c>
      <c r="G65" t="inlineStr">
        <is>
          <t>ORUST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20089-2025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45771</v>
      </c>
      <c r="E66" s="1" t="n">
        <v>46218</v>
      </c>
      <c r="F66" t="inlineStr">
        <is>
          <t>VÄSTRA GÖTALANDS LÄN</t>
        </is>
      </c>
      <c r="G66" t="inlineStr">
        <is>
          <t>ORUST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61302-2024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46218</v>
      </c>
      <c r="F67" t="inlineStr">
        <is>
          <t>VÄSTRA GÖTALANDS LÄN</t>
        </is>
      </c>
      <c r="G67" t="inlineStr">
        <is>
          <t>ORUST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63626-2023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45275</v>
      </c>
      <c r="E68" s="1" t="n">
        <v>46218</v>
      </c>
      <c r="F68" t="inlineStr">
        <is>
          <t>VÄSTRA GÖTALANDS LÄN</t>
        </is>
      </c>
      <c r="G68" t="inlineStr">
        <is>
          <t>ORUST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32175-2024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45511</v>
      </c>
      <c r="E69" s="1" t="n">
        <v>46218</v>
      </c>
      <c r="F69" t="inlineStr">
        <is>
          <t>VÄSTRA GÖTALANDS LÄN</t>
        </is>
      </c>
      <c r="G69" t="inlineStr">
        <is>
          <t>ORUST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34155-2024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45524</v>
      </c>
      <c r="E70" s="1" t="n">
        <v>46218</v>
      </c>
      <c r="F70" t="inlineStr">
        <is>
          <t>VÄSTRA GÖTALANDS LÄN</t>
        </is>
      </c>
      <c r="G70" t="inlineStr">
        <is>
          <t>ORUST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45334</v>
      </c>
      <c r="E71" s="1" t="n">
        <v>46218</v>
      </c>
      <c r="F71" t="inlineStr">
        <is>
          <t>VÄSTRA GÖTALANDS LÄN</t>
        </is>
      </c>
      <c r="G71" t="inlineStr">
        <is>
          <t>ORUST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46218</v>
      </c>
      <c r="F72" t="inlineStr">
        <is>
          <t>VÄSTRA GÖTALANDS LÄN</t>
        </is>
      </c>
      <c r="G72" t="inlineStr">
        <is>
          <t>ORUST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46708-2023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46218</v>
      </c>
      <c r="F73" t="inlineStr">
        <is>
          <t>VÄSTRA GÖTALANDS LÄN</t>
        </is>
      </c>
      <c r="G73" t="inlineStr">
        <is>
          <t>ORUST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13377-2023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46218</v>
      </c>
      <c r="F74" t="inlineStr">
        <is>
          <t>VÄSTRA GÖTALANDS LÄN</t>
        </is>
      </c>
      <c r="G74" t="inlineStr">
        <is>
          <t>ORUST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62086-2022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44919</v>
      </c>
      <c r="E75" s="1" t="n">
        <v>46218</v>
      </c>
      <c r="F75" t="inlineStr">
        <is>
          <t>VÄSTRA GÖTALANDS LÄN</t>
        </is>
      </c>
      <c r="G75" t="inlineStr">
        <is>
          <t>ORUST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49134-2021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44453</v>
      </c>
      <c r="E76" s="1" t="n">
        <v>46218</v>
      </c>
      <c r="F76" t="inlineStr">
        <is>
          <t>VÄSTRA GÖTALANDS LÄN</t>
        </is>
      </c>
      <c r="G76" t="inlineStr">
        <is>
          <t>ORUST</t>
        </is>
      </c>
      <c r="H76" t="inlineStr">
        <is>
          <t>Kommuner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46218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59915-2024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45641</v>
      </c>
      <c r="E78" s="1" t="n">
        <v>46218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57878-2022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46218</v>
      </c>
      <c r="F79" t="inlineStr">
        <is>
          <t>VÄSTRA GÖTALANDS LÄN</t>
        </is>
      </c>
      <c r="G79" t="inlineStr">
        <is>
          <t>ORUST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46218</v>
      </c>
      <c r="F80" t="inlineStr">
        <is>
          <t>VÄSTRA GÖTALANDS LÄN</t>
        </is>
      </c>
      <c r="G80" t="inlineStr">
        <is>
          <t>ORUST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55777-2022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46218</v>
      </c>
      <c r="F81" t="inlineStr">
        <is>
          <t>VÄSTRA GÖTALANDS LÄN</t>
        </is>
      </c>
      <c r="G81" t="inlineStr">
        <is>
          <t>ORUST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48419-2025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45934</v>
      </c>
      <c r="E82" s="1" t="n">
        <v>46218</v>
      </c>
      <c r="F82" t="inlineStr">
        <is>
          <t>VÄSTRA GÖTALANDS LÄN</t>
        </is>
      </c>
      <c r="G82" t="inlineStr">
        <is>
          <t>ORUST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45014</v>
      </c>
      <c r="E83" s="1" t="n">
        <v>46218</v>
      </c>
      <c r="F83" t="inlineStr">
        <is>
          <t>VÄSTRA GÖTALANDS LÄN</t>
        </is>
      </c>
      <c r="G83" t="inlineStr">
        <is>
          <t>ORUST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45181</v>
      </c>
      <c r="E84" s="1" t="n">
        <v>46218</v>
      </c>
      <c r="F84" t="inlineStr">
        <is>
          <t>VÄSTRA GÖTALANDS LÄN</t>
        </is>
      </c>
      <c r="G84" t="inlineStr">
        <is>
          <t>ORUST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45313</v>
      </c>
      <c r="E85" s="1" t="n">
        <v>46218</v>
      </c>
      <c r="F85" t="inlineStr">
        <is>
          <t>VÄSTRA GÖTALANDS LÄN</t>
        </is>
      </c>
      <c r="G85" t="inlineStr">
        <is>
          <t>ORUST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46218</v>
      </c>
      <c r="F86" t="inlineStr">
        <is>
          <t>VÄSTRA GÖTALANDS LÄN</t>
        </is>
      </c>
      <c r="G86" t="inlineStr">
        <is>
          <t>ORUST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46218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50562-2024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46218</v>
      </c>
      <c r="F88" t="inlineStr">
        <is>
          <t>VÄSTRA GÖTALANDS LÄN</t>
        </is>
      </c>
      <c r="G88" t="inlineStr">
        <is>
          <t>ORUST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33454-2023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45130</v>
      </c>
      <c r="E89" s="1" t="n">
        <v>46218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43752-2023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46218</v>
      </c>
      <c r="F90" t="inlineStr">
        <is>
          <t>VÄSTRA GÖTALANDS LÄN</t>
        </is>
      </c>
      <c r="G90" t="inlineStr">
        <is>
          <t>ORUST</t>
        </is>
      </c>
      <c r="I90" t="n">
        <v>9.300000000000001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20131-2025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45772</v>
      </c>
      <c r="E91" s="1" t="n">
        <v>46218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30440-2024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45491</v>
      </c>
      <c r="E92" s="1" t="n">
        <v>46218</v>
      </c>
      <c r="F92" t="inlineStr">
        <is>
          <t>VÄSTRA GÖTALANDS LÄN</t>
        </is>
      </c>
      <c r="G92" t="inlineStr">
        <is>
          <t>ORUST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46218</v>
      </c>
      <c r="F93" t="inlineStr">
        <is>
          <t>VÄSTRA GÖTALANDS LÄN</t>
        </is>
      </c>
      <c r="G93" t="inlineStr">
        <is>
          <t>ORUST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45673</v>
      </c>
      <c r="E94" s="1" t="n">
        <v>46218</v>
      </c>
      <c r="F94" t="inlineStr">
        <is>
          <t>VÄSTRA GÖTALANDS LÄN</t>
        </is>
      </c>
      <c r="G94" t="inlineStr">
        <is>
          <t>ORUST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49115-2024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46218</v>
      </c>
      <c r="F95" t="inlineStr">
        <is>
          <t>VÄSTRA GÖTALANDS LÄN</t>
        </is>
      </c>
      <c r="G95" t="inlineStr">
        <is>
          <t>ORUST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40722-2024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45558</v>
      </c>
      <c r="E96" s="1" t="n">
        <v>46218</v>
      </c>
      <c r="F96" t="inlineStr">
        <is>
          <t>VÄSTRA GÖTALANDS LÄN</t>
        </is>
      </c>
      <c r="G96" t="inlineStr">
        <is>
          <t>ORUST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36404-2024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45535</v>
      </c>
      <c r="E97" s="1" t="n">
        <v>46218</v>
      </c>
      <c r="F97" t="inlineStr">
        <is>
          <t>VÄSTRA GÖTALANDS LÄN</t>
        </is>
      </c>
      <c r="G97" t="inlineStr">
        <is>
          <t>ORUST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57445-2024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46218</v>
      </c>
      <c r="F98" t="inlineStr">
        <is>
          <t>VÄSTRA GÖTALANDS LÄN</t>
        </is>
      </c>
      <c r="G98" t="inlineStr">
        <is>
          <t>ORUST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22959-2025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46218</v>
      </c>
      <c r="F99" t="inlineStr">
        <is>
          <t>VÄSTRA GÖTALANDS LÄN</t>
        </is>
      </c>
      <c r="G99" t="inlineStr">
        <is>
          <t>ORUST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46218</v>
      </c>
      <c r="F100" t="inlineStr">
        <is>
          <t>VÄSTRA GÖTALANDS LÄN</t>
        </is>
      </c>
      <c r="G100" t="inlineStr">
        <is>
          <t>ORUST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9937-2025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45718</v>
      </c>
      <c r="E101" s="1" t="n">
        <v>46218</v>
      </c>
      <c r="F101" t="inlineStr">
        <is>
          <t>VÄSTRA GÖTALANDS LÄN</t>
        </is>
      </c>
      <c r="G101" t="inlineStr">
        <is>
          <t>ORUST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13521-2025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46218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13536-2025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46218</v>
      </c>
      <c r="F103" t="inlineStr">
        <is>
          <t>VÄSTRA GÖTALANDS LÄN</t>
        </is>
      </c>
      <c r="G103" t="inlineStr">
        <is>
          <t>ORUST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71890-2021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44543</v>
      </c>
      <c r="E104" s="1" t="n">
        <v>46218</v>
      </c>
      <c r="F104" t="inlineStr">
        <is>
          <t>VÄSTRA GÖTALANDS LÄN</t>
        </is>
      </c>
      <c r="G104" t="inlineStr">
        <is>
          <t>ORUST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6957-2024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46218</v>
      </c>
      <c r="F105" t="inlineStr">
        <is>
          <t>VÄSTRA GÖTALANDS LÄN</t>
        </is>
      </c>
      <c r="G105" t="inlineStr">
        <is>
          <t>ORUST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51993-2022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46218</v>
      </c>
      <c r="F106" t="inlineStr">
        <is>
          <t>VÄSTRA GÖTALANDS LÄN</t>
        </is>
      </c>
      <c r="G106" t="inlineStr">
        <is>
          <t>ORUST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24321-2025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46218</v>
      </c>
      <c r="F107" t="inlineStr">
        <is>
          <t>VÄSTRA GÖTALANDS LÄN</t>
        </is>
      </c>
      <c r="G107" t="inlineStr">
        <is>
          <t>ORUST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34046-2024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45523</v>
      </c>
      <c r="E108" s="1" t="n">
        <v>46218</v>
      </c>
      <c r="F108" t="inlineStr">
        <is>
          <t>VÄSTRA GÖTALANDS LÄN</t>
        </is>
      </c>
      <c r="G108" t="inlineStr">
        <is>
          <t>ORUST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49822-2022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44862</v>
      </c>
      <c r="E109" s="1" t="n">
        <v>46218</v>
      </c>
      <c r="F109" t="inlineStr">
        <is>
          <t>VÄSTRA GÖTALANDS LÄN</t>
        </is>
      </c>
      <c r="G109" t="inlineStr">
        <is>
          <t>ORUST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46218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25925-2024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46218</v>
      </c>
      <c r="F111" t="inlineStr">
        <is>
          <t>VÄSTRA GÖTALANDS LÄN</t>
        </is>
      </c>
      <c r="G111" t="inlineStr">
        <is>
          <t>ORUST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44754-2024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45574</v>
      </c>
      <c r="E112" s="1" t="n">
        <v>46218</v>
      </c>
      <c r="F112" t="inlineStr">
        <is>
          <t>VÄSTRA GÖTALANDS LÄN</t>
        </is>
      </c>
      <c r="G112" t="inlineStr">
        <is>
          <t>ORUST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44417-2024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45573</v>
      </c>
      <c r="E113" s="1" t="n">
        <v>46218</v>
      </c>
      <c r="F113" t="inlineStr">
        <is>
          <t>VÄSTRA GÖTALANDS LÄN</t>
        </is>
      </c>
      <c r="G113" t="inlineStr">
        <is>
          <t>ORUST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27555-2025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46218</v>
      </c>
      <c r="F114" t="inlineStr">
        <is>
          <t>VÄSTRA GÖTALANDS LÄN</t>
        </is>
      </c>
      <c r="G114" t="inlineStr">
        <is>
          <t>ORUST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38322-2023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46218</v>
      </c>
      <c r="F115" t="inlineStr">
        <is>
          <t>VÄSTRA GÖTALANDS LÄN</t>
        </is>
      </c>
      <c r="G115" t="inlineStr">
        <is>
          <t>ORUST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54279-2024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46218</v>
      </c>
      <c r="F116" t="inlineStr">
        <is>
          <t>VÄSTRA GÖTALANDS LÄN</t>
        </is>
      </c>
      <c r="G116" t="inlineStr">
        <is>
          <t>ORUST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40743-2024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46218</v>
      </c>
      <c r="F117" t="inlineStr">
        <is>
          <t>VÄSTRA GÖTALANDS LÄN</t>
        </is>
      </c>
      <c r="G117" t="inlineStr">
        <is>
          <t>ORUST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46218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34500-2025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46218</v>
      </c>
      <c r="F119" t="inlineStr">
        <is>
          <t>VÄSTRA GÖTALANDS LÄN</t>
        </is>
      </c>
      <c r="G119" t="inlineStr">
        <is>
          <t>ORUST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58853-2025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46218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27277-2025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46218</v>
      </c>
      <c r="F121" t="inlineStr">
        <is>
          <t>VÄSTRA GÖTALANDS LÄN</t>
        </is>
      </c>
      <c r="G121" t="inlineStr">
        <is>
          <t>ORUST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58852-2025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45987</v>
      </c>
      <c r="E122" s="1" t="n">
        <v>46218</v>
      </c>
      <c r="F122" t="inlineStr">
        <is>
          <t>VÄSTRA GÖTALANDS LÄN</t>
        </is>
      </c>
      <c r="G122" t="inlineStr">
        <is>
          <t>ORUST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33300-2025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45840</v>
      </c>
      <c r="E123" s="1" t="n">
        <v>46218</v>
      </c>
      <c r="F123" t="inlineStr">
        <is>
          <t>VÄSTRA GÖTALANDS LÄN</t>
        </is>
      </c>
      <c r="G123" t="inlineStr">
        <is>
          <t>ORUST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33295-2025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46218</v>
      </c>
      <c r="F124" t="inlineStr">
        <is>
          <t>VÄSTRA GÖTALANDS LÄN</t>
        </is>
      </c>
      <c r="G124" t="inlineStr">
        <is>
          <t>ORUST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33299-2025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46218</v>
      </c>
      <c r="F125" t="inlineStr">
        <is>
          <t>VÄSTRA GÖTALANDS LÄN</t>
        </is>
      </c>
      <c r="G125" t="inlineStr">
        <is>
          <t>ORUST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45895</v>
      </c>
      <c r="E126" s="1" t="n">
        <v>46218</v>
      </c>
      <c r="F126" t="inlineStr">
        <is>
          <t>VÄSTRA GÖTALANDS LÄN</t>
        </is>
      </c>
      <c r="G126" t="inlineStr">
        <is>
          <t>ORUST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46218</v>
      </c>
      <c r="F127" t="inlineStr">
        <is>
          <t>VÄSTRA GÖTALANDS LÄN</t>
        </is>
      </c>
      <c r="G127" t="inlineStr">
        <is>
          <t>ORUST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46218</v>
      </c>
      <c r="F128" t="inlineStr">
        <is>
          <t>VÄSTRA GÖTALANDS LÄN</t>
        </is>
      </c>
      <c r="G128" t="inlineStr">
        <is>
          <t>ORUST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56496-2021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46218</v>
      </c>
      <c r="F129" t="inlineStr">
        <is>
          <t>VÄSTRA GÖTALANDS LÄN</t>
        </is>
      </c>
      <c r="G129" t="inlineStr">
        <is>
          <t>ORUST</t>
        </is>
      </c>
      <c r="I129" t="n">
        <v>10.3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68727-2021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46218</v>
      </c>
      <c r="F130" t="inlineStr">
        <is>
          <t>VÄSTRA GÖTALANDS LÄN</t>
        </is>
      </c>
      <c r="G130" t="inlineStr">
        <is>
          <t>ORUST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20819-2023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45058</v>
      </c>
      <c r="E131" s="1" t="n">
        <v>46218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59834-2025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46218</v>
      </c>
      <c r="F132" t="inlineStr">
        <is>
          <t>VÄSTRA GÖTALANDS LÄN</t>
        </is>
      </c>
      <c r="G132" t="inlineStr">
        <is>
          <t>ORUST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36722-2025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45872</v>
      </c>
      <c r="E133" s="1" t="n">
        <v>46218</v>
      </c>
      <c r="F133" t="inlineStr">
        <is>
          <t>VÄSTRA GÖTALANDS LÄN</t>
        </is>
      </c>
      <c r="G133" t="inlineStr">
        <is>
          <t>ORUST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34354-2023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46218</v>
      </c>
      <c r="F134" t="inlineStr">
        <is>
          <t>VÄSTRA GÖTALANDS LÄN</t>
        </is>
      </c>
      <c r="G134" t="inlineStr">
        <is>
          <t>ORUST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20675-2026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46218</v>
      </c>
      <c r="F135" t="inlineStr">
        <is>
          <t>VÄSTRA GÖTALANDS LÄN</t>
        </is>
      </c>
      <c r="G135" t="inlineStr">
        <is>
          <t>ORUST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45601</v>
      </c>
      <c r="E136" s="1" t="n">
        <v>46218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54128-2025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45964</v>
      </c>
      <c r="E137" s="1" t="n">
        <v>46218</v>
      </c>
      <c r="F137" t="inlineStr">
        <is>
          <t>VÄSTRA GÖTALANDS LÄN</t>
        </is>
      </c>
      <c r="G137" t="inlineStr">
        <is>
          <t>ORUST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61319-2025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46218</v>
      </c>
      <c r="F138" t="inlineStr">
        <is>
          <t>VÄSTRA GÖTALANDS LÄN</t>
        </is>
      </c>
      <c r="G138" t="inlineStr">
        <is>
          <t>ORUST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1288-2025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46218</v>
      </c>
      <c r="F139" t="inlineStr">
        <is>
          <t>VÄSTRA GÖTALANDS LÄN</t>
        </is>
      </c>
      <c r="G139" t="inlineStr">
        <is>
          <t>ORUST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6485-2024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45339</v>
      </c>
      <c r="E140" s="1" t="n">
        <v>46218</v>
      </c>
      <c r="F140" t="inlineStr">
        <is>
          <t>VÄSTRA GÖTALANDS LÄN</t>
        </is>
      </c>
      <c r="G140" t="inlineStr">
        <is>
          <t>ORUST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45088-2021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44439</v>
      </c>
      <c r="E141" s="1" t="n">
        <v>46218</v>
      </c>
      <c r="F141" t="inlineStr">
        <is>
          <t>VÄSTRA GÖTALANDS LÄN</t>
        </is>
      </c>
      <c r="G141" t="inlineStr">
        <is>
          <t>ORUST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49617-2023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46218</v>
      </c>
      <c r="F142" t="inlineStr">
        <is>
          <t>VÄSTRA GÖTALANDS LÄN</t>
        </is>
      </c>
      <c r="G142" t="inlineStr">
        <is>
          <t>ORUST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23682-2024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45454</v>
      </c>
      <c r="E143" s="1" t="n">
        <v>46218</v>
      </c>
      <c r="F143" t="inlineStr">
        <is>
          <t>VÄSTRA GÖTALANDS LÄN</t>
        </is>
      </c>
      <c r="G143" t="inlineStr">
        <is>
          <t>ORUST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39206-2024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46218</v>
      </c>
      <c r="F144" t="inlineStr">
        <is>
          <t>VÄSTRA GÖTALANDS LÄN</t>
        </is>
      </c>
      <c r="G144" t="inlineStr">
        <is>
          <t>ORUST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46218</v>
      </c>
      <c r="F145" t="inlineStr">
        <is>
          <t>VÄSTRA GÖTALANDS LÄN</t>
        </is>
      </c>
      <c r="G145" t="inlineStr">
        <is>
          <t>ORUST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46218</v>
      </c>
      <c r="F146" t="inlineStr">
        <is>
          <t>VÄSTRA GÖTALANDS LÄN</t>
        </is>
      </c>
      <c r="G146" t="inlineStr">
        <is>
          <t>ORUST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46218</v>
      </c>
      <c r="F147" t="inlineStr">
        <is>
          <t>VÄSTRA GÖTALANDS LÄN</t>
        </is>
      </c>
      <c r="G147" t="inlineStr">
        <is>
          <t>ORUST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46218</v>
      </c>
      <c r="F148" t="inlineStr">
        <is>
          <t>VÄSTRA GÖTALANDS LÄN</t>
        </is>
      </c>
      <c r="G148" t="inlineStr">
        <is>
          <t>ORUST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46218</v>
      </c>
      <c r="F149" t="inlineStr">
        <is>
          <t>VÄSTRA GÖTALANDS LÄN</t>
        </is>
      </c>
      <c r="G149" t="inlineStr">
        <is>
          <t>ORUST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14609-2024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45396</v>
      </c>
      <c r="E150" s="1" t="n">
        <v>46218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6739-2026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46056</v>
      </c>
      <c r="E151" s="1" t="n">
        <v>46218</v>
      </c>
      <c r="F151" t="inlineStr">
        <is>
          <t>VÄSTRA GÖTALANDS LÄN</t>
        </is>
      </c>
      <c r="G151" t="inlineStr">
        <is>
          <t>ORUST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8457-2026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46065</v>
      </c>
      <c r="E152" s="1" t="n">
        <v>46218</v>
      </c>
      <c r="F152" t="inlineStr">
        <is>
          <t>VÄSTRA GÖTALANDS LÄN</t>
        </is>
      </c>
      <c r="G152" t="inlineStr">
        <is>
          <t>ORUST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23918-2026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46218</v>
      </c>
      <c r="F153" t="inlineStr">
        <is>
          <t>VÄSTRA GÖTALANDS LÄN</t>
        </is>
      </c>
      <c r="G153" t="inlineStr">
        <is>
          <t>ORUST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46218</v>
      </c>
      <c r="F154" t="inlineStr">
        <is>
          <t>VÄSTRA GÖTALANDS LÄN</t>
        </is>
      </c>
      <c r="G154" t="inlineStr">
        <is>
          <t>ORUST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9344-2026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46070</v>
      </c>
      <c r="E155" s="1" t="n">
        <v>46218</v>
      </c>
      <c r="F155" t="inlineStr">
        <is>
          <t>VÄSTRA GÖTALANDS LÄN</t>
        </is>
      </c>
      <c r="G155" t="inlineStr">
        <is>
          <t>ORUST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10118-2026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46075</v>
      </c>
      <c r="E156" s="1" t="n">
        <v>46218</v>
      </c>
      <c r="F156" t="inlineStr">
        <is>
          <t>VÄSTRA GÖTALANDS LÄN</t>
        </is>
      </c>
      <c r="G156" t="inlineStr">
        <is>
          <t>ORUST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31029-2026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46213</v>
      </c>
      <c r="E157" s="1" t="n">
        <v>46218</v>
      </c>
      <c r="F157" t="inlineStr">
        <is>
          <t>VÄSTRA GÖTALANDS LÄN</t>
        </is>
      </c>
      <c r="G157" t="inlineStr">
        <is>
          <t>ORUST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24605-2026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46218</v>
      </c>
      <c r="F158" t="inlineStr">
        <is>
          <t>VÄSTRA GÖTALANDS LÄN</t>
        </is>
      </c>
      <c r="G158" t="inlineStr">
        <is>
          <t>ORUST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49072-2025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46218</v>
      </c>
      <c r="F159" t="inlineStr">
        <is>
          <t>VÄSTRA GÖTALANDS LÄN</t>
        </is>
      </c>
      <c r="G159" t="inlineStr">
        <is>
          <t>ORUST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12087-2026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46086</v>
      </c>
      <c r="E160" s="1" t="n">
        <v>46218</v>
      </c>
      <c r="F160" t="inlineStr">
        <is>
          <t>VÄSTRA GÖTALANDS LÄN</t>
        </is>
      </c>
      <c r="G160" t="inlineStr">
        <is>
          <t>ORUST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25138-2026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46218</v>
      </c>
      <c r="F161" t="inlineStr">
        <is>
          <t>VÄSTRA GÖTALANDS LÄN</t>
        </is>
      </c>
      <c r="G161" t="inlineStr">
        <is>
          <t>ORUST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25123-2026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46218</v>
      </c>
      <c r="F162" t="inlineStr">
        <is>
          <t>VÄSTRA GÖTALANDS LÄN</t>
        </is>
      </c>
      <c r="G162" t="inlineStr">
        <is>
          <t>ORUST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17426-2026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46218</v>
      </c>
      <c r="F163" t="inlineStr">
        <is>
          <t>VÄSTRA GÖTALANDS LÄN</t>
        </is>
      </c>
      <c r="G163" t="inlineStr">
        <is>
          <t>ORUST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18763-2026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46128</v>
      </c>
      <c r="E164" s="1" t="n">
        <v>46218</v>
      </c>
      <c r="F164" t="inlineStr">
        <is>
          <t>VÄSTRA GÖTALANDS LÄN</t>
        </is>
      </c>
      <c r="G164" t="inlineStr">
        <is>
          <t>ORUST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18431-2026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46218</v>
      </c>
      <c r="F165" t="inlineStr">
        <is>
          <t>VÄSTRA GÖTALANDS LÄN</t>
        </is>
      </c>
      <c r="G165" t="inlineStr">
        <is>
          <t>ORUST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25963-2026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46218</v>
      </c>
      <c r="F166" t="inlineStr">
        <is>
          <t>VÄSTRA GÖTALANDS LÄN</t>
        </is>
      </c>
      <c r="G166" t="inlineStr">
        <is>
          <t>ORUST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>
      <c r="A167" t="inlineStr">
        <is>
          <t>S 2776-2025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45937</v>
      </c>
      <c r="E167" s="1" t="n">
        <v>46218</v>
      </c>
      <c r="F167" t="inlineStr">
        <is>
          <t>VÄSTRA GÖTALANDS LÄN</t>
        </is>
      </c>
      <c r="G167" t="inlineStr">
        <is>
          <t>ORUST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2026-07-15T01:23:08Z</dcterms:created>
  <dcterms:modified xmlns:dcterms="http://purl.org/dc/terms/" xmlns:xsi="http://www.w3.org/2001/XMLSchema-instance" xsi:type="dcterms:W3CDTF">2026-07-15T01:23:08Z</dcterms:modified>
</cp:coreProperties>
</file>