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49930-2024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45597</v>
      </c>
      <c r="E2" s="1" t="n">
        <v>46315</v>
      </c>
      <c r="F2" t="inlineStr">
        <is>
          <t>VÄSTRA GÖTALANDS LÄN</t>
        </is>
      </c>
      <c r="G2" t="inlineStr">
        <is>
          <t>ORUST</t>
        </is>
      </c>
      <c r="I2" t="n">
        <v>16.6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5</v>
      </c>
      <c r="V2" s="2" t="inlineStr">
        <is>
          <t>Motaggsvamp
Svart trolldruva
Revlummer
Äkta lopplummer</t>
        </is>
      </c>
      <c r="W2">
        <f>HYPERLINK("https://klasma.github.io/Logging_1421/artfynd/A 49930-2024 artfynd.xlsx", "A 49930-2024")</f>
        <v/>
      </c>
      <c r="X2">
        <f>HYPERLINK("https://klasma.github.io/Logging_1421/kartor/A 49930-2024 karta.png", "A 49930-2024")</f>
        <v/>
      </c>
      <c r="Y2">
        <f>HYPERLINK("https://klasma.github.io/Logging_1421/kartor_geotiff/A 49930-2024 georefererad karta.tif", "A 49930-2024")</f>
        <v/>
      </c>
      <c r="AA2">
        <f>HYPERLINK("https://klasma.github.io/Logging_1421/klagomål/A 49930-2024 FSC-klagomål.docx", "A 49930-2024")</f>
        <v/>
      </c>
      <c r="AB2">
        <f>HYPERLINK("https://klasma.github.io/Logging_1421/klagomålsmail/A 49930-2024 FSC-klagomål mail.docx", "A 49930-2024")</f>
        <v/>
      </c>
      <c r="AC2">
        <f>HYPERLINK("https://klasma.github.io/Logging_1421/tillsyn/A 49930-2024 tillsynsbegäran.docx", "A 49930-2024")</f>
        <v/>
      </c>
      <c r="AD2">
        <f>HYPERLINK("https://klasma.github.io/Logging_1421/tillsynsmail/A 49930-2024 tillsynsbegäran mail.docx", "A 49930-2024")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46315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46315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46315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46315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46315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46315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46315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46315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24618-2024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46315</v>
      </c>
      <c r="F11" t="inlineStr">
        <is>
          <t>VÄSTRA GÖTALANDS LÄN</t>
        </is>
      </c>
      <c r="G11" t="inlineStr">
        <is>
          <t>ORUST</t>
        </is>
      </c>
      <c r="I11" t="n">
        <v>9.5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HYPERLINK("https://klasma.github.io/Logging_1421/artfynd/A 24618-2024 artfynd.xlsx", "A 24618-2024")</f>
        <v/>
      </c>
      <c r="X11">
        <f>HYPERLINK("https://klasma.github.io/Logging_1421/kartor/A 24618-2024 karta.png", "A 24618-2024")</f>
        <v/>
      </c>
      <c r="Y11">
        <f>HYPERLINK("https://klasma.github.io/Logging_1421/kartor_geotiff/A 24618-2024 georefererad karta.tif", "A 24618-2024")</f>
        <v/>
      </c>
      <c r="AA11">
        <f>HYPERLINK("https://klasma.github.io/Logging_1421/klagomål/A 24618-2024 FSC-klagomål.docx", "A 24618-2024")</f>
        <v/>
      </c>
      <c r="AB11">
        <f>HYPERLINK("https://klasma.github.io/Logging_1421/klagomålsmail/A 24618-2024 FSC-klagomål mail.docx", "A 24618-2024")</f>
        <v/>
      </c>
      <c r="AC11">
        <f>HYPERLINK("https://klasma.github.io/Logging_1421/tillsyn/A 24618-2024 tillsynsbegäran.docx", "A 24618-2024")</f>
        <v/>
      </c>
      <c r="AD11">
        <f>HYPERLINK("https://klasma.github.io/Logging_1421/tillsynsmail/A 24618-2024 tillsynsbegäran mail.docx", "A 24618-2024")</f>
        <v/>
      </c>
    </row>
    <row r="12" ht="15" customHeight="1">
      <c r="A12" t="inlineStr">
        <is>
          <t>A 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44931</v>
      </c>
      <c r="E12" s="1" t="n">
        <v>46315</v>
      </c>
      <c r="F12" t="inlineStr">
        <is>
          <t>VÄSTRA GÖTALANDS LÄN</t>
        </is>
      </c>
      <c r="G12" t="inlineStr">
        <is>
          <t>ORUST</t>
        </is>
      </c>
      <c r="I12" t="n">
        <v>2.6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HYPERLINK("https://klasma.github.io/Logging_1421/artfynd/A 771-2023 artfynd.xlsx", "A 771-2023")</f>
        <v/>
      </c>
      <c r="X12">
        <f>HYPERLINK("https://klasma.github.io/Logging_1421/kartor/A 771-2023 karta.png", "A 771-2023")</f>
        <v/>
      </c>
      <c r="Y12">
        <f>HYPERLINK("https://klasma.github.io/Logging_1421/kartor_geotiff/A 771-2023 georefererad karta.tif", "A 771-2023")</f>
        <v/>
      </c>
      <c r="AA12">
        <f>HYPERLINK("https://klasma.github.io/Logging_1421/klagomål/A 771-2023 FSC-klagomål.docx", "A 771-2023")</f>
        <v/>
      </c>
      <c r="AB12">
        <f>HYPERLINK("https://klasma.github.io/Logging_1421/klagomålsmail/A 771-2023 FSC-klagomål mail.docx", "A 771-2023")</f>
        <v/>
      </c>
      <c r="AC12">
        <f>HYPERLINK("https://klasma.github.io/Logging_1421/tillsyn/A 771-2023 tillsynsbegäran.docx", "A 771-2023")</f>
        <v/>
      </c>
      <c r="AD12">
        <f>HYPERLINK("https://klasma.github.io/Logging_1421/tillsynsmail/A 771-2023 tillsynsbegäran mail.docx", "A 771-2023")</f>
        <v/>
      </c>
      <c r="AE12">
        <f>HYPERLINK("https://klasma.github.io/Logging_1421/fåglar/A 771-2023 prioriterade fågelarter.docx", "A 771-2023")</f>
        <v/>
      </c>
    </row>
    <row r="13" ht="15" customHeight="1">
      <c r="A13" t="inlineStr">
        <is>
          <t>A 5634-2025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45693</v>
      </c>
      <c r="E13" s="1" t="n">
        <v>46315</v>
      </c>
      <c r="F13" t="inlineStr">
        <is>
          <t>VÄSTRA GÖTALANDS LÄN</t>
        </is>
      </c>
      <c r="G13" t="inlineStr">
        <is>
          <t>ORUST</t>
        </is>
      </c>
      <c r="I13" t="n">
        <v>3.1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0</v>
      </c>
      <c r="V13" s="2" t="inlineStr">
        <is>
          <t>Knärot</t>
        </is>
      </c>
      <c r="W13">
        <f>HYPERLINK("https://klasma.github.io/Logging_1421/artfynd/A 5634-2025 artfynd.xlsx", "A 5634-2025")</f>
        <v/>
      </c>
      <c r="X13">
        <f>HYPERLINK("https://klasma.github.io/Logging_1421/kartor/A 5634-2025 karta.png", "A 5634-2025")</f>
        <v/>
      </c>
      <c r="Y13">
        <f>HYPERLINK("https://klasma.github.io/Logging_1421/kartor_geotiff/A 5634-2025 georefererad karta.tif", "A 5634-2025")</f>
        <v/>
      </c>
      <c r="Z13">
        <f>HYPERLINK("https://klasma.github.io/Logging_1421/knärot/A 5634-2025 karta knärot.png", "A 5634-2025")</f>
        <v/>
      </c>
      <c r="AA13">
        <f>HYPERLINK("https://klasma.github.io/Logging_1421/klagomål/A 5634-2025 FSC-klagomål.docx", "A 5634-2025")</f>
        <v/>
      </c>
      <c r="AB13">
        <f>HYPERLINK("https://klasma.github.io/Logging_1421/klagomålsmail/A 5634-2025 FSC-klagomål mail.docx", "A 5634-2025")</f>
        <v/>
      </c>
      <c r="AC13">
        <f>HYPERLINK("https://klasma.github.io/Logging_1421/tillsyn/A 5634-2025 tillsynsbegäran.docx", "A 5634-2025")</f>
        <v/>
      </c>
      <c r="AD13">
        <f>HYPERLINK("https://klasma.github.io/Logging_1421/tillsynsmail/A 5634-2025 tillsynsbegäran mail.docx", "A 5634-2025")</f>
        <v/>
      </c>
    </row>
    <row r="14" ht="15" customHeight="1">
      <c r="A14" t="inlineStr">
        <is>
          <t>A 5617-2024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46315</v>
      </c>
      <c r="F14" t="inlineStr">
        <is>
          <t>VÄSTRA GÖTALANDS LÄN</t>
        </is>
      </c>
      <c r="G14" t="inlineStr">
        <is>
          <t>ORUST</t>
        </is>
      </c>
      <c r="I14" t="n">
        <v>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Knärot</t>
        </is>
      </c>
      <c r="W14">
        <f>HYPERLINK("https://klasma.github.io/Logging_1421/artfynd/A 5617-2024 artfynd.xlsx", "A 5617-2024")</f>
        <v/>
      </c>
      <c r="X14">
        <f>HYPERLINK("https://klasma.github.io/Logging_1421/kartor/A 5617-2024 karta.png", "A 5617-2024")</f>
        <v/>
      </c>
      <c r="Y14">
        <f>HYPERLINK("https://klasma.github.io/Logging_1421/kartor_geotiff/A 5617-2024 georefererad karta.tif", "A 5617-2024")</f>
        <v/>
      </c>
      <c r="Z14">
        <f>HYPERLINK("https://klasma.github.io/Logging_1421/knärot/A 5617-2024 karta knärot.png", "A 5617-2024")</f>
        <v/>
      </c>
      <c r="AA14">
        <f>HYPERLINK("https://klasma.github.io/Logging_1421/klagomål/A 5617-2024 FSC-klagomål.docx", "A 5617-2024")</f>
        <v/>
      </c>
      <c r="AB14">
        <f>HYPERLINK("https://klasma.github.io/Logging_1421/klagomålsmail/A 5617-2024 FSC-klagomål mail.docx", "A 5617-2024")</f>
        <v/>
      </c>
      <c r="AC14">
        <f>HYPERLINK("https://klasma.github.io/Logging_1421/tillsyn/A 5617-2024 tillsynsbegäran.docx", "A 5617-2024")</f>
        <v/>
      </c>
      <c r="AD14">
        <f>HYPERLINK("https://klasma.github.io/Logging_1421/tillsynsmail/A 5617-2024 tillsynsbegäran mail.docx", "A 5617-2024")</f>
        <v/>
      </c>
    </row>
    <row r="15" ht="15" customHeight="1">
      <c r="A15" t="inlineStr">
        <is>
          <t>A 44233-2023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45183</v>
      </c>
      <c r="E15" s="1" t="n">
        <v>46315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44233-2023 artfynd.xlsx", "A 44233-2023")</f>
        <v/>
      </c>
      <c r="X15">
        <f>HYPERLINK("https://klasma.github.io/Logging_1421/kartor/A 44233-2023 karta.png", "A 44233-2023")</f>
        <v/>
      </c>
      <c r="Y15">
        <f>HYPERLINK("https://klasma.github.io/Logging_1421/kartor_geotiff/A 44233-2023 georefererad karta.tif", "A 44233-2023")</f>
        <v/>
      </c>
      <c r="Z15">
        <f>HYPERLINK("https://klasma.github.io/Logging_1421/knärot/A 44233-2023 karta knärot.png", "A 44233-2023")</f>
        <v/>
      </c>
      <c r="AA15">
        <f>HYPERLINK("https://klasma.github.io/Logging_1421/klagomål/A 44233-2023 FSC-klagomål.docx", "A 44233-2023")</f>
        <v/>
      </c>
      <c r="AB15">
        <f>HYPERLINK("https://klasma.github.io/Logging_1421/klagomålsmail/A 44233-2023 FSC-klagomål mail.docx", "A 44233-2023")</f>
        <v/>
      </c>
      <c r="AC15">
        <f>HYPERLINK("https://klasma.github.io/Logging_1421/tillsyn/A 44233-2023 tillsynsbegäran.docx", "A 44233-2023")</f>
        <v/>
      </c>
      <c r="AD15">
        <f>HYPERLINK("https://klasma.github.io/Logging_1421/tillsynsmail/A 44233-2023 tillsynsbegäran mail.docx", "A 44233-2023")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46315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12722-2026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46315</v>
      </c>
      <c r="F17" t="inlineStr">
        <is>
          <t>VÄSTRA GÖTALANDS LÄN</t>
        </is>
      </c>
      <c r="G17" t="inlineStr">
        <is>
          <t>ORUST</t>
        </is>
      </c>
      <c r="I17" t="n">
        <v>7.4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HYPERLINK("https://klasma.github.io/Logging_1421/artfynd/A 12722-2026 artfynd.xlsx", "A 12722-2026")</f>
        <v/>
      </c>
      <c r="X17">
        <f>HYPERLINK("https://klasma.github.io/Logging_1421/kartor/A 12722-2026 karta.png", "A 12722-2026")</f>
        <v/>
      </c>
      <c r="Y17">
        <f>HYPERLINK("https://klasma.github.io/Logging_1421/kartor_geotiff/A 12722-2026 georefererad karta.tif", "A 12722-2026")</f>
        <v/>
      </c>
      <c r="Z17">
        <f>HYPERLINK("https://klasma.github.io/Logging_1421/knärot/A 12722-2026 karta knärot.png", "A 12722-2026")</f>
        <v/>
      </c>
      <c r="AA17">
        <f>HYPERLINK("https://klasma.github.io/Logging_1421/klagomål/A 12722-2026 FSC-klagomål.docx", "A 12722-2026")</f>
        <v/>
      </c>
      <c r="AB17">
        <f>HYPERLINK("https://klasma.github.io/Logging_1421/klagomålsmail/A 12722-2026 FSC-klagomål mail.docx", "A 12722-2026")</f>
        <v/>
      </c>
      <c r="AC17">
        <f>HYPERLINK("https://klasma.github.io/Logging_1421/tillsyn/A 12722-2026 tillsynsbegäran.docx", "A 12722-2026")</f>
        <v/>
      </c>
      <c r="AD17">
        <f>HYPERLINK("https://klasma.github.io/Logging_1421/tillsynsmail/A 12722-2026 tillsynsbegäran mail.docx", "A 12722-2026")</f>
        <v/>
      </c>
    </row>
    <row r="18" ht="15" customHeight="1">
      <c r="A18" t="inlineStr">
        <is>
          <t>A 6986-2024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46315</v>
      </c>
      <c r="F18" t="inlineStr">
        <is>
          <t>VÄSTRA GÖTALANDS LÄN</t>
        </is>
      </c>
      <c r="G18" t="inlineStr">
        <is>
          <t>ORUST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HYPERLINK("https://klasma.github.io/Logging_1421/artfynd/A 6986-2024 artfynd.xlsx", "A 6986-2024")</f>
        <v/>
      </c>
      <c r="X18">
        <f>HYPERLINK("https://klasma.github.io/Logging_1421/kartor/A 6986-2024 karta.png", "A 6986-2024")</f>
        <v/>
      </c>
      <c r="Y18">
        <f>HYPERLINK("https://klasma.github.io/Logging_1421/kartor_geotiff/A 6986-2024 georefererad karta.tif", "A 6986-2024")</f>
        <v/>
      </c>
      <c r="AA18">
        <f>HYPERLINK("https://klasma.github.io/Logging_1421/klagomål/A 6986-2024 FSC-klagomål.docx", "A 6986-2024")</f>
        <v/>
      </c>
      <c r="AB18">
        <f>HYPERLINK("https://klasma.github.io/Logging_1421/klagomålsmail/A 6986-2024 FSC-klagomål mail.docx", "A 6986-2024")</f>
        <v/>
      </c>
      <c r="AC18">
        <f>HYPERLINK("https://klasma.github.io/Logging_1421/tillsyn/A 6986-2024 tillsynsbegäran.docx", "A 6986-2024")</f>
        <v/>
      </c>
      <c r="AD18">
        <f>HYPERLINK("https://klasma.github.io/Logging_1421/tillsynsmail/A 6986-2024 tillsynsbegäran mail.docx", "A 6986-2024")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46315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46315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46315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20086-2023 artfynd.xlsx", "A 20086-2023")</f>
        <v/>
      </c>
      <c r="X21">
        <f>HYPERLINK("https://klasma.github.io/Logging_1421/kartor/A 20086-2023 karta.png", "A 20086-2023")</f>
        <v/>
      </c>
      <c r="Y21">
        <f>HYPERLINK("https://klasma.github.io/Logging_1421/kartor_geotiff/A 20086-2023 georefererad karta.tif", "A 20086-2023")</f>
        <v/>
      </c>
      <c r="Z21">
        <f>HYPERLINK("https://klasma.github.io/Logging_1421/knärot/A 20086-2023 karta knärot.png", "A 20086-2023")</f>
        <v/>
      </c>
      <c r="AA21">
        <f>HYPERLINK("https://klasma.github.io/Logging_1421/klagomål/A 20086-2023 FSC-klagomål.docx", "A 20086-2023")</f>
        <v/>
      </c>
      <c r="AB21">
        <f>HYPERLINK("https://klasma.github.io/Logging_1421/klagomålsmail/A 20086-2023 FSC-klagomål mail.docx", "A 20086-2023")</f>
        <v/>
      </c>
      <c r="AC21">
        <f>HYPERLINK("https://klasma.github.io/Logging_1421/tillsyn/A 20086-2023 tillsynsbegäran.docx", "A 20086-2023")</f>
        <v/>
      </c>
      <c r="AD21">
        <f>HYPERLINK("https://klasma.github.io/Logging_1421/tillsynsmail/A 20086-2023 tillsynsbegäran mail.docx", "A 20086-2023")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46315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46315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46315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46315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46315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46315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46315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46315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46315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46315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46315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46315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46315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46315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46315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46315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46315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46315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46315</v>
      </c>
      <c r="F40" t="inlineStr">
        <is>
          <t>VÄSTRA GÖTALANDS LÄN</t>
        </is>
      </c>
      <c r="G40" t="inlineStr">
        <is>
          <t>ORUST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46315</v>
      </c>
      <c r="F41" t="inlineStr">
        <is>
          <t>VÄSTRA GÖTALANDS LÄN</t>
        </is>
      </c>
      <c r="G41" t="inlineStr">
        <is>
          <t>ORUST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45548</v>
      </c>
      <c r="E42" s="1" t="n">
        <v>46315</v>
      </c>
      <c r="F42" t="inlineStr">
        <is>
          <t>VÄSTRA GÖTALANDS LÄN</t>
        </is>
      </c>
      <c r="G42" t="inlineStr">
        <is>
          <t>ORUST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23682-2024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45454</v>
      </c>
      <c r="E43" s="1" t="n">
        <v>46315</v>
      </c>
      <c r="F43" t="inlineStr">
        <is>
          <t>VÄSTRA GÖTALANDS LÄN</t>
        </is>
      </c>
      <c r="G43" t="inlineStr">
        <is>
          <t>ORUST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46315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46315</v>
      </c>
      <c r="F45" t="inlineStr">
        <is>
          <t>VÄSTRA GÖTALANDS LÄN</t>
        </is>
      </c>
      <c r="G45" t="inlineStr">
        <is>
          <t>ORUST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46315</v>
      </c>
      <c r="F46" t="inlineStr">
        <is>
          <t>VÄSTRA GÖTALANDS LÄN</t>
        </is>
      </c>
      <c r="G46" t="inlineStr">
        <is>
          <t>ORUST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46315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45594</v>
      </c>
      <c r="E48" s="1" t="n">
        <v>46315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46315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46315</v>
      </c>
      <c r="F50" t="inlineStr">
        <is>
          <t>VÄSTRA GÖTALANDS LÄN</t>
        </is>
      </c>
      <c r="G50" t="inlineStr">
        <is>
          <t>ORUST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45491</v>
      </c>
      <c r="E51" s="1" t="n">
        <v>46315</v>
      </c>
      <c r="F51" t="inlineStr">
        <is>
          <t>VÄSTRA GÖTALANDS LÄN</t>
        </is>
      </c>
      <c r="G51" t="inlineStr">
        <is>
          <t>ORUST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44924</v>
      </c>
      <c r="E52" s="1" t="n">
        <v>46315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45211</v>
      </c>
      <c r="E53" s="1" t="n">
        <v>46315</v>
      </c>
      <c r="F53" t="inlineStr">
        <is>
          <t>VÄSTRA GÖTALANDS LÄN</t>
        </is>
      </c>
      <c r="G53" t="inlineStr">
        <is>
          <t>ORUST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45558</v>
      </c>
      <c r="E54" s="1" t="n">
        <v>46315</v>
      </c>
      <c r="F54" t="inlineStr">
        <is>
          <t>VÄSTRA GÖTALANDS LÄN</t>
        </is>
      </c>
      <c r="G54" t="inlineStr">
        <is>
          <t>ORUST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46315</v>
      </c>
      <c r="F55" t="inlineStr">
        <is>
          <t>VÄSTRA GÖTALANDS LÄN</t>
        </is>
      </c>
      <c r="G55" t="inlineStr">
        <is>
          <t>ORUST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51993-2022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46315</v>
      </c>
      <c r="F56" t="inlineStr">
        <is>
          <t>VÄSTRA GÖTALANDS LÄN</t>
        </is>
      </c>
      <c r="G56" t="inlineStr">
        <is>
          <t>ORUST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46315</v>
      </c>
      <c r="F57" t="inlineStr">
        <is>
          <t>VÄSTRA GÖTALANDS LÄN</t>
        </is>
      </c>
      <c r="G57" t="inlineStr">
        <is>
          <t>ORUST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33454-2023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45130</v>
      </c>
      <c r="E58" s="1" t="n">
        <v>46315</v>
      </c>
      <c r="F58" t="inlineStr">
        <is>
          <t>VÄSTRA GÖTALANDS LÄN</t>
        </is>
      </c>
      <c r="G58" t="inlineStr">
        <is>
          <t>ORUST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46315</v>
      </c>
      <c r="F59" t="inlineStr">
        <is>
          <t>VÄSTRA GÖTALANDS LÄN</t>
        </is>
      </c>
      <c r="G59" t="inlineStr">
        <is>
          <t>ORUST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46315</v>
      </c>
      <c r="F60" t="inlineStr">
        <is>
          <t>VÄSTRA GÖTALANDS LÄN</t>
        </is>
      </c>
      <c r="G60" t="inlineStr">
        <is>
          <t>ORUST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33296-2025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46315</v>
      </c>
      <c r="F61" t="inlineStr">
        <is>
          <t>VÄSTRA GÖTALANDS LÄN</t>
        </is>
      </c>
      <c r="G61" t="inlineStr">
        <is>
          <t>ORUST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46315</v>
      </c>
      <c r="F62" t="inlineStr">
        <is>
          <t>VÄSTRA GÖTALANDS LÄN</t>
        </is>
      </c>
      <c r="G62" t="inlineStr">
        <is>
          <t>ORUST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45667</v>
      </c>
      <c r="E63" s="1" t="n">
        <v>46315</v>
      </c>
      <c r="F63" t="inlineStr">
        <is>
          <t>VÄSTRA GÖTALANDS LÄN</t>
        </is>
      </c>
      <c r="G63" t="inlineStr">
        <is>
          <t>ORUST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46315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46315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46315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46315</v>
      </c>
      <c r="F67" t="inlineStr">
        <is>
          <t>VÄSTRA GÖTALANDS LÄN</t>
        </is>
      </c>
      <c r="G67" t="inlineStr">
        <is>
          <t>ORUST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41881-2025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46315</v>
      </c>
      <c r="F68" t="inlineStr">
        <is>
          <t>VÄSTRA GÖTALANDS LÄN</t>
        </is>
      </c>
      <c r="G68" t="inlineStr">
        <is>
          <t>ORUST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46315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68727-2021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46315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45964</v>
      </c>
      <c r="E71" s="1" t="n">
        <v>46315</v>
      </c>
      <c r="F71" t="inlineStr">
        <is>
          <t>VÄSTRA GÖTALANDS LÄN</t>
        </is>
      </c>
      <c r="G71" t="inlineStr">
        <is>
          <t>ORUST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14802-2023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45014</v>
      </c>
      <c r="E72" s="1" t="n">
        <v>46315</v>
      </c>
      <c r="F72" t="inlineStr">
        <is>
          <t>VÄSTRA GÖTALANDS LÄN</t>
        </is>
      </c>
      <c r="G72" t="inlineStr">
        <is>
          <t>ORUST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46315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45535</v>
      </c>
      <c r="E74" s="1" t="n">
        <v>46315</v>
      </c>
      <c r="F74" t="inlineStr">
        <is>
          <t>VÄSTRA GÖTALANDS LÄN</t>
        </is>
      </c>
      <c r="G74" t="inlineStr">
        <is>
          <t>ORUST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46315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46315</v>
      </c>
      <c r="F76" t="inlineStr">
        <is>
          <t>VÄSTRA GÖTALANDS LÄN</t>
        </is>
      </c>
      <c r="G76" t="inlineStr">
        <is>
          <t>ORUST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44919</v>
      </c>
      <c r="E77" s="1" t="n">
        <v>46315</v>
      </c>
      <c r="F77" t="inlineStr">
        <is>
          <t>VÄSTRA GÖTALANDS LÄN</t>
        </is>
      </c>
      <c r="G77" t="inlineStr">
        <is>
          <t>ORUST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14609-2024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45396</v>
      </c>
      <c r="E78" s="1" t="n">
        <v>46315</v>
      </c>
      <c r="F78" t="inlineStr">
        <is>
          <t>VÄSTRA GÖTALANDS LÄN</t>
        </is>
      </c>
      <c r="G78" t="inlineStr">
        <is>
          <t>ORUST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46315</v>
      </c>
      <c r="F79" t="inlineStr">
        <is>
          <t>VÄSTRA GÖTALANDS LÄN</t>
        </is>
      </c>
      <c r="G79" t="inlineStr">
        <is>
          <t>ORUST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46315</v>
      </c>
      <c r="F80" t="inlineStr">
        <is>
          <t>VÄSTRA GÖTALANDS LÄN</t>
        </is>
      </c>
      <c r="G80" t="inlineStr">
        <is>
          <t>ORUST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46315</v>
      </c>
      <c r="F81" t="inlineStr">
        <is>
          <t>VÄSTRA GÖTALANDS LÄN</t>
        </is>
      </c>
      <c r="G81" t="inlineStr">
        <is>
          <t>ORUST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45992</v>
      </c>
      <c r="E82" s="1" t="n">
        <v>46315</v>
      </c>
      <c r="F82" t="inlineStr">
        <is>
          <t>VÄSTRA GÖTALANDS LÄN</t>
        </is>
      </c>
      <c r="G82" t="inlineStr">
        <is>
          <t>ORUST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45313</v>
      </c>
      <c r="E83" s="1" t="n">
        <v>46315</v>
      </c>
      <c r="F83" t="inlineStr">
        <is>
          <t>VÄSTRA GÖTALANDS LÄN</t>
        </is>
      </c>
      <c r="G83" t="inlineStr">
        <is>
          <t>ORUST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45511</v>
      </c>
      <c r="E84" s="1" t="n">
        <v>46315</v>
      </c>
      <c r="F84" t="inlineStr">
        <is>
          <t>VÄSTRA GÖTALANDS LÄN</t>
        </is>
      </c>
      <c r="G84" t="inlineStr">
        <is>
          <t>ORUST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45275</v>
      </c>
      <c r="E85" s="1" t="n">
        <v>46315</v>
      </c>
      <c r="F85" t="inlineStr">
        <is>
          <t>VÄSTRA GÖTALANDS LÄN</t>
        </is>
      </c>
      <c r="G85" t="inlineStr">
        <is>
          <t>ORUST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46315</v>
      </c>
      <c r="F86" t="inlineStr">
        <is>
          <t>VÄSTRA GÖTALANDS LÄN</t>
        </is>
      </c>
      <c r="G86" t="inlineStr">
        <is>
          <t>ORUST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45539</v>
      </c>
      <c r="E87" s="1" t="n">
        <v>46315</v>
      </c>
      <c r="F87" t="inlineStr">
        <is>
          <t>VÄSTRA GÖTALANDS LÄN</t>
        </is>
      </c>
      <c r="G87" t="inlineStr">
        <is>
          <t>ORUST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46315</v>
      </c>
      <c r="F88" t="inlineStr">
        <is>
          <t>VÄSTRA GÖTALANDS LÄN</t>
        </is>
      </c>
      <c r="G88" t="inlineStr">
        <is>
          <t>ORUST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46315</v>
      </c>
      <c r="F89" t="inlineStr">
        <is>
          <t>VÄSTRA GÖTALANDS LÄN</t>
        </is>
      </c>
      <c r="G89" t="inlineStr">
        <is>
          <t>ORUST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46170</v>
      </c>
      <c r="E90" s="1" t="n">
        <v>46315</v>
      </c>
      <c r="F90" t="inlineStr">
        <is>
          <t>VÄSTRA GÖTALANDS LÄN</t>
        </is>
      </c>
      <c r="G90" t="inlineStr">
        <is>
          <t>ORUST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46315</v>
      </c>
      <c r="F91" t="inlineStr">
        <is>
          <t>VÄSTRA GÖTALANDS LÄN</t>
        </is>
      </c>
      <c r="G91" t="inlineStr">
        <is>
          <t>ORUST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46315</v>
      </c>
      <c r="F92" t="inlineStr">
        <is>
          <t>VÄSTRA GÖTALANDS LÄN</t>
        </is>
      </c>
      <c r="G92" t="inlineStr">
        <is>
          <t>ORUST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46315</v>
      </c>
      <c r="F93" t="inlineStr">
        <is>
          <t>VÄSTRA GÖTALANDS LÄN</t>
        </is>
      </c>
      <c r="G93" t="inlineStr">
        <is>
          <t>ORUST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46315</v>
      </c>
      <c r="F94" t="inlineStr">
        <is>
          <t>VÄSTRA GÖTALANDS LÄN</t>
        </is>
      </c>
      <c r="G94" t="inlineStr">
        <is>
          <t>ORUST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46315</v>
      </c>
      <c r="F95" t="inlineStr">
        <is>
          <t>VÄSTRA GÖTALANDS LÄN</t>
        </is>
      </c>
      <c r="G95" t="inlineStr">
        <is>
          <t>ORUST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45058</v>
      </c>
      <c r="E96" s="1" t="n">
        <v>46315</v>
      </c>
      <c r="F96" t="inlineStr">
        <is>
          <t>VÄSTRA GÖTALANDS LÄN</t>
        </is>
      </c>
      <c r="G96" t="inlineStr">
        <is>
          <t>ORUST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25963-2026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46315</v>
      </c>
      <c r="F97" t="inlineStr">
        <is>
          <t>VÄSTRA GÖTALANDS LÄN</t>
        </is>
      </c>
      <c r="G97" t="inlineStr">
        <is>
          <t>ORUST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46315</v>
      </c>
      <c r="F98" t="inlineStr">
        <is>
          <t>VÄSTRA GÖTALANDS LÄN</t>
        </is>
      </c>
      <c r="G98" t="inlineStr">
        <is>
          <t>ORUST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46315</v>
      </c>
      <c r="F99" t="inlineStr">
        <is>
          <t>VÄSTRA GÖTALANDS LÄN</t>
        </is>
      </c>
      <c r="G99" t="inlineStr">
        <is>
          <t>ORUST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46315</v>
      </c>
      <c r="F100" t="inlineStr">
        <is>
          <t>VÄSTRA GÖTALANDS LÄN</t>
        </is>
      </c>
      <c r="G100" t="inlineStr">
        <is>
          <t>ORUST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46075</v>
      </c>
      <c r="E101" s="1" t="n">
        <v>46315</v>
      </c>
      <c r="F101" t="inlineStr">
        <is>
          <t>VÄSTRA GÖTALANDS LÄN</t>
        </is>
      </c>
      <c r="G101" t="inlineStr">
        <is>
          <t>ORUST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46315</v>
      </c>
      <c r="F102" t="inlineStr">
        <is>
          <t>VÄSTRA GÖTALANDS LÄN</t>
        </is>
      </c>
      <c r="G102" t="inlineStr">
        <is>
          <t>ORUST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46315</v>
      </c>
      <c r="F103" t="inlineStr">
        <is>
          <t>VÄSTRA GÖTALANDS LÄN</t>
        </is>
      </c>
      <c r="G103" t="inlineStr">
        <is>
          <t>ORUST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46315</v>
      </c>
      <c r="F104" t="inlineStr">
        <is>
          <t>VÄSTRA GÖTALANDS LÄN</t>
        </is>
      </c>
      <c r="G104" t="inlineStr">
        <is>
          <t>ORUST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46120</v>
      </c>
      <c r="E105" s="1" t="n">
        <v>46315</v>
      </c>
      <c r="F105" t="inlineStr">
        <is>
          <t>VÄSTRA GÖTALANDS LÄN</t>
        </is>
      </c>
      <c r="G105" t="inlineStr">
        <is>
          <t>ORUST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46315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45692</v>
      </c>
      <c r="E107" s="1" t="n">
        <v>46315</v>
      </c>
      <c r="F107" t="inlineStr">
        <is>
          <t>VÄSTRA GÖTALANDS LÄN</t>
        </is>
      </c>
      <c r="G107" t="inlineStr">
        <is>
          <t>ORUST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19005-2023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45045</v>
      </c>
      <c r="E108" s="1" t="n">
        <v>46315</v>
      </c>
      <c r="F108" t="inlineStr">
        <is>
          <t>VÄSTRA GÖTALANDS LÄN</t>
        </is>
      </c>
      <c r="G108" t="inlineStr">
        <is>
          <t>ORUST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45523</v>
      </c>
      <c r="E109" s="1" t="n">
        <v>46315</v>
      </c>
      <c r="F109" t="inlineStr">
        <is>
          <t>VÄSTRA GÖTALANDS LÄN</t>
        </is>
      </c>
      <c r="G109" t="inlineStr">
        <is>
          <t>ORUST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45641</v>
      </c>
      <c r="E110" s="1" t="n">
        <v>46315</v>
      </c>
      <c r="F110" t="inlineStr">
        <is>
          <t>VÄSTRA GÖTALANDS LÄN</t>
        </is>
      </c>
      <c r="G110" t="inlineStr">
        <is>
          <t>ORUST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46315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46315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46315</v>
      </c>
      <c r="F113" t="inlineStr">
        <is>
          <t>VÄSTRA GÖTALANDS LÄN</t>
        </is>
      </c>
      <c r="G113" t="inlineStr">
        <is>
          <t>ORUST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45467</v>
      </c>
      <c r="E114" s="1" t="n">
        <v>46315</v>
      </c>
      <c r="F114" t="inlineStr">
        <is>
          <t>VÄSTRA GÖTALANDS LÄN</t>
        </is>
      </c>
      <c r="G114" t="inlineStr">
        <is>
          <t>ORUST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46315</v>
      </c>
      <c r="F115" t="inlineStr">
        <is>
          <t>VÄSTRA GÖTALANDS LÄN</t>
        </is>
      </c>
      <c r="G115" t="inlineStr">
        <is>
          <t>ORUST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46315</v>
      </c>
      <c r="F116" t="inlineStr">
        <is>
          <t>VÄSTRA GÖTALANDS LÄN</t>
        </is>
      </c>
      <c r="G116" t="inlineStr">
        <is>
          <t>ORUST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45181</v>
      </c>
      <c r="E117" s="1" t="n">
        <v>46315</v>
      </c>
      <c r="F117" t="inlineStr">
        <is>
          <t>VÄSTRA GÖTALANDS LÄN</t>
        </is>
      </c>
      <c r="G117" t="inlineStr">
        <is>
          <t>ORUST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46280</v>
      </c>
      <c r="E118" s="1" t="n">
        <v>46315</v>
      </c>
      <c r="F118" t="inlineStr">
        <is>
          <t>VÄSTRA GÖTALANDS LÄN</t>
        </is>
      </c>
      <c r="G118" t="inlineStr">
        <is>
          <t>ORUST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46315</v>
      </c>
      <c r="F119" t="inlineStr">
        <is>
          <t>VÄSTRA GÖTALANDS LÄN</t>
        </is>
      </c>
      <c r="G119" t="inlineStr">
        <is>
          <t>ORUST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46315</v>
      </c>
      <c r="F120" t="inlineStr">
        <is>
          <t>VÄSTRA GÖTALANDS LÄN</t>
        </is>
      </c>
      <c r="G120" t="inlineStr">
        <is>
          <t>ORUST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46315</v>
      </c>
      <c r="F121" t="inlineStr">
        <is>
          <t>VÄSTRA GÖTALANDS LÄN</t>
        </is>
      </c>
      <c r="G121" t="inlineStr">
        <is>
          <t>ORUST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46315</v>
      </c>
      <c r="F122" t="inlineStr">
        <is>
          <t>VÄSTRA GÖTALANDS LÄN</t>
        </is>
      </c>
      <c r="G122" t="inlineStr">
        <is>
          <t>ORUST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46315</v>
      </c>
      <c r="F123" t="inlineStr">
        <is>
          <t>VÄSTRA GÖTALANDS LÄN</t>
        </is>
      </c>
      <c r="G123" t="inlineStr">
        <is>
          <t>ORUST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45339</v>
      </c>
      <c r="E124" s="1" t="n">
        <v>46315</v>
      </c>
      <c r="F124" t="inlineStr">
        <is>
          <t>VÄSTRA GÖTALANDS LÄN</t>
        </is>
      </c>
      <c r="G124" t="inlineStr">
        <is>
          <t>ORUST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46315</v>
      </c>
      <c r="F125" t="inlineStr">
        <is>
          <t>VÄSTRA GÖTALANDS LÄN</t>
        </is>
      </c>
      <c r="G125" t="inlineStr">
        <is>
          <t>ORUST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46315</v>
      </c>
      <c r="F126" t="inlineStr">
        <is>
          <t>VÄSTRA GÖTALANDS LÄN</t>
        </is>
      </c>
      <c r="G126" t="inlineStr">
        <is>
          <t>ORUST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46315</v>
      </c>
      <c r="F127" t="inlineStr">
        <is>
          <t>VÄSTRA GÖTALANDS LÄN</t>
        </is>
      </c>
      <c r="G127" t="inlineStr">
        <is>
          <t>ORUST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45155</v>
      </c>
      <c r="E128" s="1" t="n">
        <v>46315</v>
      </c>
      <c r="F128" t="inlineStr">
        <is>
          <t>VÄSTRA GÖTALANDS LÄN</t>
        </is>
      </c>
      <c r="G128" t="inlineStr">
        <is>
          <t>ORUST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46315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46315</v>
      </c>
      <c r="F130" t="inlineStr">
        <is>
          <t>VÄSTRA GÖTALANDS LÄN</t>
        </is>
      </c>
      <c r="G130" t="inlineStr">
        <is>
          <t>ORUST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46213</v>
      </c>
      <c r="E131" s="1" t="n">
        <v>46315</v>
      </c>
      <c r="F131" t="inlineStr">
        <is>
          <t>VÄSTRA GÖTALANDS LÄN</t>
        </is>
      </c>
      <c r="G131" t="inlineStr">
        <is>
          <t>ORUST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46315</v>
      </c>
      <c r="F132" t="inlineStr">
        <is>
          <t>VÄSTRA GÖTALANDS LÄN</t>
        </is>
      </c>
      <c r="G132" t="inlineStr">
        <is>
          <t>ORUST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45718</v>
      </c>
      <c r="E133" s="1" t="n">
        <v>46315</v>
      </c>
      <c r="F133" t="inlineStr">
        <is>
          <t>VÄSTRA GÖTALANDS LÄN</t>
        </is>
      </c>
      <c r="G133" t="inlineStr">
        <is>
          <t>ORUST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46315</v>
      </c>
      <c r="F134" t="inlineStr">
        <is>
          <t>VÄSTRA GÖTALANDS LÄN</t>
        </is>
      </c>
      <c r="G134" t="inlineStr">
        <is>
          <t>ORUST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46315</v>
      </c>
      <c r="F135" t="inlineStr">
        <is>
          <t>VÄSTRA GÖTALANDS LÄN</t>
        </is>
      </c>
      <c r="G135" t="inlineStr">
        <is>
          <t>ORUST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46315</v>
      </c>
      <c r="F136" t="inlineStr">
        <is>
          <t>VÄSTRA GÖTALANDS LÄN</t>
        </is>
      </c>
      <c r="G136" t="inlineStr">
        <is>
          <t>ORUST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45523</v>
      </c>
      <c r="E137" s="1" t="n">
        <v>46315</v>
      </c>
      <c r="F137" t="inlineStr">
        <is>
          <t>VÄSTRA GÖTALANDS LÄN</t>
        </is>
      </c>
      <c r="G137" t="inlineStr">
        <is>
          <t>ORUST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46315</v>
      </c>
      <c r="F138" t="inlineStr">
        <is>
          <t>VÄSTRA GÖTALANDS LÄN</t>
        </is>
      </c>
      <c r="G138" t="inlineStr">
        <is>
          <t>ORUST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46304</v>
      </c>
      <c r="E139" s="1" t="n">
        <v>46315</v>
      </c>
      <c r="F139" t="inlineStr">
        <is>
          <t>VÄSTRA GÖTALANDS LÄN</t>
        </is>
      </c>
      <c r="G139" t="inlineStr">
        <is>
          <t>ORUST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46304</v>
      </c>
      <c r="E140" s="1" t="n">
        <v>46315</v>
      </c>
      <c r="F140" t="inlineStr">
        <is>
          <t>VÄSTRA GÖTALANDS LÄN</t>
        </is>
      </c>
      <c r="G140" t="inlineStr">
        <is>
          <t>ORUST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45573</v>
      </c>
      <c r="E141" s="1" t="n">
        <v>46315</v>
      </c>
      <c r="F141" t="inlineStr">
        <is>
          <t>VÄSTRA GÖTALANDS LÄN</t>
        </is>
      </c>
      <c r="G141" t="inlineStr">
        <is>
          <t>ORUST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45574</v>
      </c>
      <c r="E142" s="1" t="n">
        <v>46315</v>
      </c>
      <c r="F142" t="inlineStr">
        <is>
          <t>VÄSTRA GÖTALANDS LÄN</t>
        </is>
      </c>
      <c r="G142" t="inlineStr">
        <is>
          <t>ORUST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46315</v>
      </c>
      <c r="F143" t="inlineStr">
        <is>
          <t>VÄSTRA GÖTALANDS LÄN</t>
        </is>
      </c>
      <c r="G143" t="inlineStr">
        <is>
          <t>ORUST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46315</v>
      </c>
      <c r="F144" t="inlineStr">
        <is>
          <t>VÄSTRA GÖTALANDS LÄN</t>
        </is>
      </c>
      <c r="G144" t="inlineStr">
        <is>
          <t>ORUST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46315</v>
      </c>
      <c r="F145" t="inlineStr">
        <is>
          <t>VÄSTRA GÖTALANDS LÄN</t>
        </is>
      </c>
      <c r="G145" t="inlineStr">
        <is>
          <t>ORUST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46315</v>
      </c>
      <c r="F146" t="inlineStr">
        <is>
          <t>VÄSTRA GÖTALANDS LÄN</t>
        </is>
      </c>
      <c r="G146" t="inlineStr">
        <is>
          <t>ORUST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46315</v>
      </c>
      <c r="F147" t="inlineStr">
        <is>
          <t>VÄSTRA GÖTALANDS LÄN</t>
        </is>
      </c>
      <c r="G147" t="inlineStr">
        <is>
          <t>ORUST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36428-2026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46269</v>
      </c>
      <c r="E148" s="1" t="n">
        <v>46315</v>
      </c>
      <c r="F148" t="inlineStr">
        <is>
          <t>VÄSTRA GÖTALANDS LÄN</t>
        </is>
      </c>
      <c r="G148" t="inlineStr">
        <is>
          <t>ORUST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46315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46314</v>
      </c>
      <c r="E150" s="1" t="n">
        <v>46315</v>
      </c>
      <c r="F150" t="inlineStr">
        <is>
          <t>VÄSTRA GÖTALANDS LÄN</t>
        </is>
      </c>
      <c r="G150" t="inlineStr">
        <is>
          <t>ORUST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45872</v>
      </c>
      <c r="E151" s="1" t="n">
        <v>46315</v>
      </c>
      <c r="F151" t="inlineStr">
        <is>
          <t>VÄSTRA GÖTALANDS LÄN</t>
        </is>
      </c>
      <c r="G151" t="inlineStr">
        <is>
          <t>ORUST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46315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46315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2026-10-20T01:50:10Z</dcterms:created>
  <dcterms:modified xmlns:dcterms="http://purl.org/dc/terms/" xmlns:xsi="http://www.w3.org/2001/XMLSchema-instance" xsi:type="dcterms:W3CDTF">2026-10-20T01:50:10Z</dcterms:modified>
</cp:coreProperties>
</file>