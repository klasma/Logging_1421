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46301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46301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46301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46301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46301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46301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46301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46301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46301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46301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HYPERLINK("https://klasma.github.io/Logging_1421/artfynd/A 24618-2024 artfynd.xlsx", "A 24618-2024")</f>
        <v/>
      </c>
      <c r="X13">
        <f>HYPERLINK("https://klasma.github.io/Logging_1421/kartor/A 24618-2024 karta.png", "A 24618-2024")</f>
        <v/>
      </c>
      <c r="Y13">
        <f>HYPERLINK("https://klasma.github.io/Logging_1421/kartor_geotiff/A 24618-2024 georefererad karta.tif", "A 24618-2024")</f>
        <v/>
      </c>
      <c r="AA13">
        <f>HYPERLINK("https://klasma.github.io/Logging_1421/klagomål/A 24618-2024 FSC-klagomål.docx", "A 24618-2024")</f>
        <v/>
      </c>
      <c r="AB13">
        <f>HYPERLINK("https://klasma.github.io/Logging_1421/klagomålsmail/A 24618-2024 FSC-klagomål mail.docx", "A 24618-2024")</f>
        <v/>
      </c>
      <c r="AC13">
        <f>HYPERLINK("https://klasma.github.io/Logging_1421/tillsyn/A 24618-2024 tillsynsbegäran.docx", "A 24618-2024")</f>
        <v/>
      </c>
      <c r="AD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46301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5634-2025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45693</v>
      </c>
      <c r="E15" s="1" t="n">
        <v>46301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5634-2025 artfynd.xlsx", "A 5634-2025")</f>
        <v/>
      </c>
      <c r="X15">
        <f>HYPERLINK("https://klasma.github.io/Logging_1421/kartor/A 5634-2025 karta.png", "A 5634-2025")</f>
        <v/>
      </c>
      <c r="Y15">
        <f>HYPERLINK("https://klasma.github.io/Logging_1421/kartor_geotiff/A 5634-2025 georefererad karta.tif", "A 5634-2025")</f>
        <v/>
      </c>
      <c r="Z15">
        <f>HYPERLINK("https://klasma.github.io/Logging_1421/knärot/A 5634-2025 karta knärot.png", "A 5634-2025")</f>
        <v/>
      </c>
      <c r="AA15">
        <f>HYPERLINK("https://klasma.github.io/Logging_1421/klagomål/A 5634-2025 FSC-klagomål.docx", "A 5634-2025")</f>
        <v/>
      </c>
      <c r="AB15">
        <f>HYPERLINK("https://klasma.github.io/Logging_1421/klagomålsmail/A 5634-2025 FSC-klagomål mail.docx", "A 5634-2025")</f>
        <v/>
      </c>
      <c r="AC15">
        <f>HYPERLINK("https://klasma.github.io/Logging_1421/tillsyn/A 5634-2025 tillsynsbegäran.docx", "A 5634-2025")</f>
        <v/>
      </c>
      <c r="AD15">
        <f>HYPERLINK("https://klasma.github.io/Logging_1421/tillsynsmail/A 5634-2025 tillsynsbegäran mail.docx", "A 5634-2025")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46301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46301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46301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46301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6986-2024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46301</v>
      </c>
      <c r="F20" t="inlineStr">
        <is>
          <t>VÄSTRA GÖTALANDS LÄN</t>
        </is>
      </c>
      <c r="G20" t="inlineStr">
        <is>
          <t>ORUST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HYPERLINK("https://klasma.github.io/Logging_1421/artfynd/A 6986-2024 artfynd.xlsx", "A 6986-2024")</f>
        <v/>
      </c>
      <c r="X20">
        <f>HYPERLINK("https://klasma.github.io/Logging_1421/kartor/A 6986-2024 karta.png", "A 6986-2024")</f>
        <v/>
      </c>
      <c r="Y20">
        <f>HYPERLINK("https://klasma.github.io/Logging_1421/kartor_geotiff/A 6986-2024 georefererad karta.tif", "A 6986-2024")</f>
        <v/>
      </c>
      <c r="AA20">
        <f>HYPERLINK("https://klasma.github.io/Logging_1421/klagomål/A 6986-2024 FSC-klagomål.docx", "A 6986-2024")</f>
        <v/>
      </c>
      <c r="AB20">
        <f>HYPERLINK("https://klasma.github.io/Logging_1421/klagomålsmail/A 6986-2024 FSC-klagomål mail.docx", "A 6986-2024")</f>
        <v/>
      </c>
      <c r="AC20">
        <f>HYPERLINK("https://klasma.github.io/Logging_1421/tillsyn/A 6986-2024 tillsynsbegäran.docx", "A 6986-2024")</f>
        <v/>
      </c>
      <c r="AD20">
        <f>HYPERLINK("https://klasma.github.io/Logging_1421/tillsynsmail/A 6986-2024 tillsynsbegäran mail.docx", "A 6986-2024")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46301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46301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46301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46301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46301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46301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46301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46301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46301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46301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46301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46301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46301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46301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46301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46301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46301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46301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46301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46301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46301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46301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46301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46301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46301</v>
      </c>
      <c r="F45" t="inlineStr">
        <is>
          <t>VÄSTRA GÖTALANDS LÄN</t>
        </is>
      </c>
      <c r="G45" t="inlineStr">
        <is>
          <t>ORUST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46301</v>
      </c>
      <c r="F46" t="inlineStr">
        <is>
          <t>VÄSTRA GÖTALANDS LÄN</t>
        </is>
      </c>
      <c r="G46" t="inlineStr">
        <is>
          <t>ORUST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45334</v>
      </c>
      <c r="E47" s="1" t="n">
        <v>46301</v>
      </c>
      <c r="F47" t="inlineStr">
        <is>
          <t>VÄSTRA GÖTALANDS LÄN</t>
        </is>
      </c>
      <c r="G47" t="inlineStr">
        <is>
          <t>ORUST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46301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46301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46301</v>
      </c>
      <c r="F50" t="inlineStr">
        <is>
          <t>VÄSTRA GÖTALANDS LÄN</t>
        </is>
      </c>
      <c r="G50" t="inlineStr">
        <is>
          <t>ORUST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46301</v>
      </c>
      <c r="F51" t="inlineStr">
        <is>
          <t>VÄSTRA GÖTALANDS LÄN</t>
        </is>
      </c>
      <c r="G51" t="inlineStr">
        <is>
          <t>ORUST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46301</v>
      </c>
      <c r="F52" t="inlineStr">
        <is>
          <t>VÄSTRA GÖTALANDS LÄN</t>
        </is>
      </c>
      <c r="G52" t="inlineStr">
        <is>
          <t>ORUST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46301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45491</v>
      </c>
      <c r="E54" s="1" t="n">
        <v>46301</v>
      </c>
      <c r="F54" t="inlineStr">
        <is>
          <t>VÄSTRA GÖTALANDS LÄN</t>
        </is>
      </c>
      <c r="G54" t="inlineStr">
        <is>
          <t>ORUST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46301</v>
      </c>
      <c r="F55" t="inlineStr">
        <is>
          <t>VÄSTRA GÖTALANDS LÄN</t>
        </is>
      </c>
      <c r="G55" t="inlineStr">
        <is>
          <t>ORUST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62516-2022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44924</v>
      </c>
      <c r="E56" s="1" t="n">
        <v>46301</v>
      </c>
      <c r="F56" t="inlineStr">
        <is>
          <t>VÄSTRA GÖTALANDS LÄN</t>
        </is>
      </c>
      <c r="G56" t="inlineStr">
        <is>
          <t>ORUST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46301</v>
      </c>
      <c r="F57" t="inlineStr">
        <is>
          <t>VÄSTRA GÖTALANDS LÄN</t>
        </is>
      </c>
      <c r="G57" t="inlineStr">
        <is>
          <t>ORUST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45616</v>
      </c>
      <c r="E58" s="1" t="n">
        <v>46301</v>
      </c>
      <c r="F58" t="inlineStr">
        <is>
          <t>VÄSTRA GÖTALANDS LÄN</t>
        </is>
      </c>
      <c r="G58" t="inlineStr">
        <is>
          <t>ORUST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46301</v>
      </c>
      <c r="F59" t="inlineStr">
        <is>
          <t>VÄSTRA GÖTALANDS LÄN</t>
        </is>
      </c>
      <c r="G59" t="inlineStr">
        <is>
          <t>ORUST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46301</v>
      </c>
      <c r="F60" t="inlineStr">
        <is>
          <t>VÄSTRA GÖTALANDS LÄN</t>
        </is>
      </c>
      <c r="G60" t="inlineStr">
        <is>
          <t>ORUST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45898</v>
      </c>
      <c r="E61" s="1" t="n">
        <v>46301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45211</v>
      </c>
      <c r="E62" s="1" t="n">
        <v>46301</v>
      </c>
      <c r="F62" t="inlineStr">
        <is>
          <t>VÄSTRA GÖTALANDS LÄN</t>
        </is>
      </c>
      <c r="G62" t="inlineStr">
        <is>
          <t>ORUST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46301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46301</v>
      </c>
      <c r="F64" t="inlineStr">
        <is>
          <t>VÄSTRA GÖTALANDS LÄN</t>
        </is>
      </c>
      <c r="G64" t="inlineStr">
        <is>
          <t>ORUST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46301</v>
      </c>
      <c r="F65" t="inlineStr">
        <is>
          <t>VÄSTRA GÖTALANDS LÄN</t>
        </is>
      </c>
      <c r="G65" t="inlineStr">
        <is>
          <t>ORUST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33299-2025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46301</v>
      </c>
      <c r="F66" t="inlineStr">
        <is>
          <t>VÄSTRA GÖTALANDS LÄN</t>
        </is>
      </c>
      <c r="G66" t="inlineStr">
        <is>
          <t>ORUST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46301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46056</v>
      </c>
      <c r="E68" s="1" t="n">
        <v>46301</v>
      </c>
      <c r="F68" t="inlineStr">
        <is>
          <t>VÄSTRA GÖTALANDS LÄN</t>
        </is>
      </c>
      <c r="G68" t="inlineStr">
        <is>
          <t>ORUST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46301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34502-2025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45847</v>
      </c>
      <c r="E70" s="1" t="n">
        <v>46301</v>
      </c>
      <c r="F70" t="inlineStr">
        <is>
          <t>VÄSTRA GÖTALANDS LÄN</t>
        </is>
      </c>
      <c r="G70" t="inlineStr">
        <is>
          <t>ORUST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45772</v>
      </c>
      <c r="E71" s="1" t="n">
        <v>46301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46301</v>
      </c>
      <c r="F72" t="inlineStr">
        <is>
          <t>VÄSTRA GÖTALANDS LÄN</t>
        </is>
      </c>
      <c r="G72" t="inlineStr">
        <is>
          <t>ORUST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45872</v>
      </c>
      <c r="E73" s="1" t="n">
        <v>46301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46301</v>
      </c>
      <c r="F74" t="inlineStr">
        <is>
          <t>VÄSTRA GÖTALANDS LÄN</t>
        </is>
      </c>
      <c r="G74" t="inlineStr">
        <is>
          <t>ORUST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45139</v>
      </c>
      <c r="E75" s="1" t="n">
        <v>46301</v>
      </c>
      <c r="F75" t="inlineStr">
        <is>
          <t>VÄSTRA GÖTALANDS LÄN</t>
        </is>
      </c>
      <c r="G75" t="inlineStr">
        <is>
          <t>ORUST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46301</v>
      </c>
      <c r="F76" t="inlineStr">
        <is>
          <t>VÄSTRA GÖTALANDS LÄN</t>
        </is>
      </c>
      <c r="G76" t="inlineStr">
        <is>
          <t>ORUST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46301</v>
      </c>
      <c r="F77" t="inlineStr">
        <is>
          <t>VÄSTRA GÖTALANDS LÄN</t>
        </is>
      </c>
      <c r="G77" t="inlineStr">
        <is>
          <t>ORUST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46301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46301</v>
      </c>
      <c r="F79" t="inlineStr">
        <is>
          <t>VÄSTRA GÖTALANDS LÄN</t>
        </is>
      </c>
      <c r="G79" t="inlineStr">
        <is>
          <t>ORUST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46301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45130</v>
      </c>
      <c r="E81" s="1" t="n">
        <v>46301</v>
      </c>
      <c r="F81" t="inlineStr">
        <is>
          <t>VÄSTRA GÖTALANDS LÄN</t>
        </is>
      </c>
      <c r="G81" t="inlineStr">
        <is>
          <t>ORUST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46301</v>
      </c>
      <c r="F82" t="inlineStr">
        <is>
          <t>VÄSTRA GÖTALANDS LÄN</t>
        </is>
      </c>
      <c r="G82" t="inlineStr">
        <is>
          <t>ORUST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46075</v>
      </c>
      <c r="E83" s="1" t="n">
        <v>46301</v>
      </c>
      <c r="F83" t="inlineStr">
        <is>
          <t>VÄSTRA GÖTALANDS LÄN</t>
        </is>
      </c>
      <c r="G83" t="inlineStr">
        <is>
          <t>ORUST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46301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46301</v>
      </c>
      <c r="F85" t="inlineStr">
        <is>
          <t>VÄSTRA GÖTALANDS LÄN</t>
        </is>
      </c>
      <c r="G85" t="inlineStr">
        <is>
          <t>ORUST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45014</v>
      </c>
      <c r="E86" s="1" t="n">
        <v>46301</v>
      </c>
      <c r="F86" t="inlineStr">
        <is>
          <t>VÄSTRA GÖTALANDS LÄN</t>
        </is>
      </c>
      <c r="G86" t="inlineStr">
        <is>
          <t>ORUST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46301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46301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46301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46301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45535</v>
      </c>
      <c r="E91" s="1" t="n">
        <v>46301</v>
      </c>
      <c r="F91" t="inlineStr">
        <is>
          <t>VÄSTRA GÖTALANDS LÄN</t>
        </is>
      </c>
      <c r="G91" t="inlineStr">
        <is>
          <t>ORUST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46301</v>
      </c>
      <c r="F92" t="inlineStr">
        <is>
          <t>VÄSTRA GÖTALANDS LÄN</t>
        </is>
      </c>
      <c r="G92" t="inlineStr">
        <is>
          <t>ORUST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46301</v>
      </c>
      <c r="F93" t="inlineStr">
        <is>
          <t>VÄSTRA GÖTALANDS LÄN</t>
        </is>
      </c>
      <c r="G93" t="inlineStr">
        <is>
          <t>ORUST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56496-2021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46301</v>
      </c>
      <c r="F94" t="inlineStr">
        <is>
          <t>VÄSTRA GÖTALANDS LÄN</t>
        </is>
      </c>
      <c r="G94" t="inlineStr">
        <is>
          <t>ORUST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46301</v>
      </c>
      <c r="F95" t="inlineStr">
        <is>
          <t>VÄSTRA GÖTALANDS LÄN</t>
        </is>
      </c>
      <c r="G95" t="inlineStr">
        <is>
          <t>ORUST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46301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46301</v>
      </c>
      <c r="F97" t="inlineStr">
        <is>
          <t>VÄSTRA GÖTALANDS LÄN</t>
        </is>
      </c>
      <c r="G97" t="inlineStr">
        <is>
          <t>ORUST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46301</v>
      </c>
      <c r="F98" t="inlineStr">
        <is>
          <t>VÄSTRA GÖTALANDS LÄN</t>
        </is>
      </c>
      <c r="G98" t="inlineStr">
        <is>
          <t>ORUST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46301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46301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62086-2022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44919</v>
      </c>
      <c r="E101" s="1" t="n">
        <v>46301</v>
      </c>
      <c r="F101" t="inlineStr">
        <is>
          <t>VÄSTRA GÖTALANDS LÄN</t>
        </is>
      </c>
      <c r="G101" t="inlineStr">
        <is>
          <t>ORUST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46301</v>
      </c>
      <c r="F102" t="inlineStr">
        <is>
          <t>VÄSTRA GÖTALANDS LÄN</t>
        </is>
      </c>
      <c r="G102" t="inlineStr">
        <is>
          <t>ORUST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46301</v>
      </c>
      <c r="F103" t="inlineStr">
        <is>
          <t>VÄSTRA GÖTALANDS LÄN</t>
        </is>
      </c>
      <c r="G103" t="inlineStr">
        <is>
          <t>ORUST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45313</v>
      </c>
      <c r="E104" s="1" t="n">
        <v>46301</v>
      </c>
      <c r="F104" t="inlineStr">
        <is>
          <t>VÄSTRA GÖTALANDS LÄN</t>
        </is>
      </c>
      <c r="G104" t="inlineStr">
        <is>
          <t>ORUST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68727-2021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46301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46301</v>
      </c>
      <c r="F106" t="inlineStr">
        <is>
          <t>VÄSTRA GÖTALANDS LÄN</t>
        </is>
      </c>
      <c r="G106" t="inlineStr">
        <is>
          <t>ORUST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46301</v>
      </c>
      <c r="F107" t="inlineStr">
        <is>
          <t>VÄSTRA GÖTALANDS LÄN</t>
        </is>
      </c>
      <c r="G107" t="inlineStr">
        <is>
          <t>ORUST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46301</v>
      </c>
      <c r="F108" t="inlineStr">
        <is>
          <t>VÄSTRA GÖTALANDS LÄN</t>
        </is>
      </c>
      <c r="G108" t="inlineStr">
        <is>
          <t>ORUST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46301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45336</v>
      </c>
      <c r="E110" s="1" t="n">
        <v>46301</v>
      </c>
      <c r="F110" t="inlineStr">
        <is>
          <t>VÄSTRA GÖTALANDS LÄN</t>
        </is>
      </c>
      <c r="G110" t="inlineStr">
        <is>
          <t>ORUST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46301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46301</v>
      </c>
      <c r="F112" t="inlineStr">
        <is>
          <t>VÄSTRA GÖTALANDS LÄN</t>
        </is>
      </c>
      <c r="G112" t="inlineStr">
        <is>
          <t>ORUST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46301</v>
      </c>
      <c r="F113" t="inlineStr">
        <is>
          <t>VÄSTRA GÖTALANDS LÄN</t>
        </is>
      </c>
      <c r="G113" t="inlineStr">
        <is>
          <t>ORUST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46301</v>
      </c>
      <c r="F114" t="inlineStr">
        <is>
          <t>VÄSTRA GÖTALANDS LÄN</t>
        </is>
      </c>
      <c r="G114" t="inlineStr">
        <is>
          <t>ORUST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46301</v>
      </c>
      <c r="F115" t="inlineStr">
        <is>
          <t>VÄSTRA GÖTALANDS LÄN</t>
        </is>
      </c>
      <c r="G115" t="inlineStr">
        <is>
          <t>ORUST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46301</v>
      </c>
      <c r="F116" t="inlineStr">
        <is>
          <t>VÄSTRA GÖTALANDS LÄN</t>
        </is>
      </c>
      <c r="G116" t="inlineStr">
        <is>
          <t>ORUST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46301</v>
      </c>
      <c r="F117" t="inlineStr">
        <is>
          <t>VÄSTRA GÖTALANDS LÄN</t>
        </is>
      </c>
      <c r="G117" t="inlineStr">
        <is>
          <t>ORUST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46301</v>
      </c>
      <c r="F118" t="inlineStr">
        <is>
          <t>VÄSTRA GÖTALANDS LÄN</t>
        </is>
      </c>
      <c r="G118" t="inlineStr">
        <is>
          <t>ORUST</t>
        </is>
      </c>
      <c r="I118" t="n">
        <v>9.300000000000001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46301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46301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45692</v>
      </c>
      <c r="E121" s="1" t="n">
        <v>46301</v>
      </c>
      <c r="F121" t="inlineStr">
        <is>
          <t>VÄSTRA GÖTALANDS LÄN</t>
        </is>
      </c>
      <c r="G121" t="inlineStr">
        <is>
          <t>ORUST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45045</v>
      </c>
      <c r="E122" s="1" t="n">
        <v>46301</v>
      </c>
      <c r="F122" t="inlineStr">
        <is>
          <t>VÄSTRA GÖTALANDS LÄN</t>
        </is>
      </c>
      <c r="G122" t="inlineStr">
        <is>
          <t>ORUST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34056-2024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45523</v>
      </c>
      <c r="E123" s="1" t="n">
        <v>46301</v>
      </c>
      <c r="F123" t="inlineStr">
        <is>
          <t>VÄSTRA GÖTALANDS LÄN</t>
        </is>
      </c>
      <c r="G123" t="inlineStr">
        <is>
          <t>ORUST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45641</v>
      </c>
      <c r="E124" s="1" t="n">
        <v>46301</v>
      </c>
      <c r="F124" t="inlineStr">
        <is>
          <t>VÄSTRA GÖTALANDS LÄN</t>
        </is>
      </c>
      <c r="G124" t="inlineStr">
        <is>
          <t>ORUST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46301</v>
      </c>
      <c r="F125" t="inlineStr">
        <is>
          <t>VÄSTRA GÖTALANDS LÄN</t>
        </is>
      </c>
      <c r="G125" t="inlineStr">
        <is>
          <t>ORUST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46301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45467</v>
      </c>
      <c r="E127" s="1" t="n">
        <v>46301</v>
      </c>
      <c r="F127" t="inlineStr">
        <is>
          <t>VÄSTRA GÖTALANDS LÄN</t>
        </is>
      </c>
      <c r="G127" t="inlineStr">
        <is>
          <t>ORUST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46301</v>
      </c>
      <c r="F128" t="inlineStr">
        <is>
          <t>VÄSTRA GÖTALANDS LÄN</t>
        </is>
      </c>
      <c r="G128" t="inlineStr">
        <is>
          <t>ORUST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36428-2026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46301</v>
      </c>
      <c r="F129" t="inlineStr">
        <is>
          <t>VÄSTRA GÖTALANDS LÄN</t>
        </is>
      </c>
      <c r="G129" t="inlineStr">
        <is>
          <t>ORUST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45044</v>
      </c>
      <c r="E130" s="1" t="n">
        <v>46301</v>
      </c>
      <c r="F130" t="inlineStr">
        <is>
          <t>VÄSTRA GÖTALANDS LÄN</t>
        </is>
      </c>
      <c r="G130" t="inlineStr">
        <is>
          <t>ORUST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45181</v>
      </c>
      <c r="E131" s="1" t="n">
        <v>46301</v>
      </c>
      <c r="F131" t="inlineStr">
        <is>
          <t>VÄSTRA GÖTALANDS LÄN</t>
        </is>
      </c>
      <c r="G131" t="inlineStr">
        <is>
          <t>ORUST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46280</v>
      </c>
      <c r="E132" s="1" t="n">
        <v>46301</v>
      </c>
      <c r="F132" t="inlineStr">
        <is>
          <t>VÄSTRA GÖTALANDS LÄN</t>
        </is>
      </c>
      <c r="G132" t="inlineStr">
        <is>
          <t>ORUST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71890-2021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46301</v>
      </c>
      <c r="F133" t="inlineStr">
        <is>
          <t>VÄSTRA GÖTALANDS LÄN</t>
        </is>
      </c>
      <c r="G133" t="inlineStr">
        <is>
          <t>ORUST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46301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46301</v>
      </c>
      <c r="F135" t="inlineStr">
        <is>
          <t>VÄSTRA GÖTALANDS LÄN</t>
        </is>
      </c>
      <c r="G135" t="inlineStr">
        <is>
          <t>ORUST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46301</v>
      </c>
      <c r="F136" t="inlineStr">
        <is>
          <t>VÄSTRA GÖTALANDS LÄN</t>
        </is>
      </c>
      <c r="G136" t="inlineStr">
        <is>
          <t>ORUST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46301</v>
      </c>
      <c r="F137" t="inlineStr">
        <is>
          <t>VÄSTRA GÖTALANDS LÄN</t>
        </is>
      </c>
      <c r="G137" t="inlineStr">
        <is>
          <t>ORUST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45339</v>
      </c>
      <c r="E138" s="1" t="n">
        <v>46301</v>
      </c>
      <c r="F138" t="inlineStr">
        <is>
          <t>VÄSTRA GÖTALANDS LÄN</t>
        </is>
      </c>
      <c r="G138" t="inlineStr">
        <is>
          <t>ORUST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46301</v>
      </c>
      <c r="F139" t="inlineStr">
        <is>
          <t>VÄSTRA GÖTALANDS LÄN</t>
        </is>
      </c>
      <c r="G139" t="inlineStr">
        <is>
          <t>ORUST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46301</v>
      </c>
      <c r="F140" t="inlineStr">
        <is>
          <t>VÄSTRA GÖTALANDS LÄN</t>
        </is>
      </c>
      <c r="G140" t="inlineStr">
        <is>
          <t>ORUST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46301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46301</v>
      </c>
      <c r="F142" t="inlineStr">
        <is>
          <t>VÄSTRA GÖTALANDS LÄN</t>
        </is>
      </c>
      <c r="G142" t="inlineStr">
        <is>
          <t>ORUST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46301</v>
      </c>
      <c r="F143" t="inlineStr">
        <is>
          <t>VÄSTRA GÖTALANDS LÄN</t>
        </is>
      </c>
      <c r="G143" t="inlineStr">
        <is>
          <t>ORUST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46300</v>
      </c>
      <c r="E144" s="1" t="n">
        <v>46301</v>
      </c>
      <c r="F144" t="inlineStr">
        <is>
          <t>VÄSTRA GÖTALANDS LÄN</t>
        </is>
      </c>
      <c r="G144" t="inlineStr">
        <is>
          <t>ORUST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45790</v>
      </c>
      <c r="E145" s="1" t="n">
        <v>46301</v>
      </c>
      <c r="F145" t="inlineStr">
        <is>
          <t>VÄSTRA GÖTALANDS LÄN</t>
        </is>
      </c>
      <c r="G145" t="inlineStr">
        <is>
          <t>ORUST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45718</v>
      </c>
      <c r="E146" s="1" t="n">
        <v>46301</v>
      </c>
      <c r="F146" t="inlineStr">
        <is>
          <t>VÄSTRA GÖTALANDS LÄN</t>
        </is>
      </c>
      <c r="G146" t="inlineStr">
        <is>
          <t>ORUST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46301</v>
      </c>
      <c r="F147" t="inlineStr">
        <is>
          <t>VÄSTRA GÖTALANDS LÄN</t>
        </is>
      </c>
      <c r="G147" t="inlineStr">
        <is>
          <t>ORUST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46301</v>
      </c>
      <c r="F148" t="inlineStr">
        <is>
          <t>VÄSTRA GÖTALANDS LÄN</t>
        </is>
      </c>
      <c r="G148" t="inlineStr">
        <is>
          <t>ORUST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46301</v>
      </c>
      <c r="F149" t="inlineStr">
        <is>
          <t>VÄSTRA GÖTALANDS LÄN</t>
        </is>
      </c>
      <c r="G149" t="inlineStr">
        <is>
          <t>ORUST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46301</v>
      </c>
      <c r="F150" t="inlineStr">
        <is>
          <t>VÄSTRA GÖTALANDS LÄN</t>
        </is>
      </c>
      <c r="G150" t="inlineStr">
        <is>
          <t>ORUST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46301</v>
      </c>
      <c r="F151" t="inlineStr">
        <is>
          <t>VÄSTRA GÖTALANDS LÄN</t>
        </is>
      </c>
      <c r="G151" t="inlineStr">
        <is>
          <t>ORUST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46301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46301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2026-10-06T01:57:30Z</dcterms:created>
  <dcterms:modified xmlns:dcterms="http://purl.org/dc/terms/" xmlns:xsi="http://www.w3.org/2001/XMLSchema-instance" xsi:type="dcterms:W3CDTF">2026-10-06T01:57:31Z</dcterms:modified>
</cp:coreProperties>
</file>