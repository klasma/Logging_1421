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45998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45998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45998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45998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45998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14805-2023</t>
        </is>
      </c>
      <c r="B7" s="1" t="n">
        <v>45014</v>
      </c>
      <c r="C7" s="1" t="n">
        <v>45998</v>
      </c>
      <c r="D7" t="inlineStr">
        <is>
          <t>VÄSTRA GÖTALANDS LÄN</t>
        </is>
      </c>
      <c r="E7" t="inlineStr">
        <is>
          <t>ORUST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Grönsångare
Kambräken
Purpurmylia</t>
        </is>
      </c>
      <c r="S7">
        <f>HYPERLINK("https://klasma.github.io/Logging_1421/artfynd/A 14805-2023 artfynd.xlsx", "A 14805-2023")</f>
        <v/>
      </c>
      <c r="T7">
        <f>HYPERLINK("https://klasma.github.io/Logging_1421/kartor/A 14805-2023 karta.png", "A 14805-2023")</f>
        <v/>
      </c>
      <c r="U7">
        <f>HYPERLINK("https://klasma.github.io/Logging_1421/knärot/A 14805-2023 karta knärot.png", "A 14805-2023")</f>
        <v/>
      </c>
      <c r="V7">
        <f>HYPERLINK("https://klasma.github.io/Logging_1421/klagomål/A 14805-2023 FSC-klagomål.docx", "A 14805-2023")</f>
        <v/>
      </c>
      <c r="W7">
        <f>HYPERLINK("https://klasma.github.io/Logging_1421/klagomålsmail/A 14805-2023 FSC-klagomål mail.docx", "A 14805-2023")</f>
        <v/>
      </c>
      <c r="X7">
        <f>HYPERLINK("https://klasma.github.io/Logging_1421/tillsyn/A 14805-2023 tillsynsbegäran.docx", "A 14805-2023")</f>
        <v/>
      </c>
      <c r="Y7">
        <f>HYPERLINK("https://klasma.github.io/Logging_1421/tillsynsmail/A 14805-2023 tillsynsbegäran mail.docx", "A 14805-2023")</f>
        <v/>
      </c>
      <c r="Z7">
        <f>HYPERLINK("https://klasma.github.io/Logging_1421/fåglar/A 14805-2023 prioriterade fågelarter.docx", "A 14805-2023")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45998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45998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45998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45998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45998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45998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45998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45998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46272-2024</t>
        </is>
      </c>
      <c r="B16" s="1" t="n">
        <v>45581</v>
      </c>
      <c r="C16" s="1" t="n">
        <v>45998</v>
      </c>
      <c r="D16" t="inlineStr">
        <is>
          <t>VÄSTRA GÖTALANDS LÄN</t>
        </is>
      </c>
      <c r="E16" t="inlineStr">
        <is>
          <t>ORUST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HYPERLINK("https://klasma.github.io/Logging_1421/artfynd/A 46272-2024 artfynd.xlsx", "A 46272-2024")</f>
        <v/>
      </c>
      <c r="T16">
        <f>HYPERLINK("https://klasma.github.io/Logging_1421/kartor/A 46272-2024 karta.png", "A 46272-2024")</f>
        <v/>
      </c>
      <c r="V16">
        <f>HYPERLINK("https://klasma.github.io/Logging_1421/klagomål/A 46272-2024 FSC-klagomål.docx", "A 46272-2024")</f>
        <v/>
      </c>
      <c r="W16">
        <f>HYPERLINK("https://klasma.github.io/Logging_1421/klagomålsmail/A 46272-2024 FSC-klagomål mail.docx", "A 46272-2024")</f>
        <v/>
      </c>
      <c r="X16">
        <f>HYPERLINK("https://klasma.github.io/Logging_1421/tillsyn/A 46272-2024 tillsynsbegäran.docx", "A 46272-2024")</f>
        <v/>
      </c>
      <c r="Y16">
        <f>HYPERLINK("https://klasma.github.io/Logging_1421/tillsynsmail/A 46272-2024 tillsynsbegäran mail.docx", "A 46272-2024")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45998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58944-2025</t>
        </is>
      </c>
      <c r="B18" s="1" t="n">
        <v>45987.57861111111</v>
      </c>
      <c r="C18" s="1" t="n">
        <v>45998</v>
      </c>
      <c r="D18" t="inlineStr">
        <is>
          <t>VÄSTRA GÖTALANDS LÄN</t>
        </is>
      </c>
      <c r="E18" t="inlineStr">
        <is>
          <t>ORUST</t>
        </is>
      </c>
      <c r="G18" t="n">
        <v>8.4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58944-2025 artfynd.xlsx", "A 58944-2025")</f>
        <v/>
      </c>
      <c r="T18">
        <f>HYPERLINK("https://klasma.github.io/Logging_1421/kartor/A 58944-2025 karta.png", "A 58944-2025")</f>
        <v/>
      </c>
      <c r="U18">
        <f>HYPERLINK("https://klasma.github.io/Logging_1421/knärot/A 58944-2025 karta knärot.png", "A 58944-2025")</f>
        <v/>
      </c>
      <c r="V18">
        <f>HYPERLINK("https://klasma.github.io/Logging_1421/klagomål/A 58944-2025 FSC-klagomål.docx", "A 58944-2025")</f>
        <v/>
      </c>
      <c r="W18">
        <f>HYPERLINK("https://klasma.github.io/Logging_1421/klagomålsmail/A 58944-2025 FSC-klagomål mail.docx", "A 58944-2025")</f>
        <v/>
      </c>
      <c r="X18">
        <f>HYPERLINK("https://klasma.github.io/Logging_1421/tillsyn/A 58944-2025 tillsynsbegäran.docx", "A 58944-2025")</f>
        <v/>
      </c>
      <c r="Y18">
        <f>HYPERLINK("https://klasma.github.io/Logging_1421/tillsynsmail/A 58944-2025 tillsynsbegäran mail.docx", "A 58944-2025")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45998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24618-2024</t>
        </is>
      </c>
      <c r="B20" s="1" t="n">
        <v>45460</v>
      </c>
      <c r="C20" s="1" t="n">
        <v>45998</v>
      </c>
      <c r="D20" t="inlineStr">
        <is>
          <t>VÄSTRA GÖTALANDS LÄN</t>
        </is>
      </c>
      <c r="E20" t="inlineStr">
        <is>
          <t>ORUST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HYPERLINK("https://klasma.github.io/Logging_1421/artfynd/A 24618-2024 artfynd.xlsx", "A 24618-2024")</f>
        <v/>
      </c>
      <c r="T20">
        <f>HYPERLINK("https://klasma.github.io/Logging_1421/kartor/A 24618-2024 karta.png", "A 24618-2024")</f>
        <v/>
      </c>
      <c r="V20">
        <f>HYPERLINK("https://klasma.github.io/Logging_1421/klagomål/A 24618-2024 FSC-klagomål.docx", "A 24618-2024")</f>
        <v/>
      </c>
      <c r="W20">
        <f>HYPERLINK("https://klasma.github.io/Logging_1421/klagomålsmail/A 24618-2024 FSC-klagomål mail.docx", "A 24618-2024")</f>
        <v/>
      </c>
      <c r="X20">
        <f>HYPERLINK("https://klasma.github.io/Logging_1421/tillsyn/A 24618-2024 tillsynsbegäran.docx", "A 24618-2024")</f>
        <v/>
      </c>
      <c r="Y20">
        <f>HYPERLINK("https://klasma.github.io/Logging_1421/tillsynsmail/A 24618-2024 tillsynsbegäran mail.docx", "A 24618-2024")</f>
        <v/>
      </c>
    </row>
    <row r="21" ht="15" customHeight="1">
      <c r="A21" t="inlineStr">
        <is>
          <t>A 5634-2025</t>
        </is>
      </c>
      <c r="B21" s="1" t="n">
        <v>45693.6689699074</v>
      </c>
      <c r="C21" s="1" t="n">
        <v>45998</v>
      </c>
      <c r="D21" t="inlineStr">
        <is>
          <t>VÄSTRA GÖTALANDS LÄN</t>
        </is>
      </c>
      <c r="E21" t="inlineStr">
        <is>
          <t>ORUST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5634-2025 artfynd.xlsx", "A 5634-2025")</f>
        <v/>
      </c>
      <c r="T21">
        <f>HYPERLINK("https://klasma.github.io/Logging_1421/kartor/A 5634-2025 karta.png", "A 5634-2025")</f>
        <v/>
      </c>
      <c r="U21">
        <f>HYPERLINK("https://klasma.github.io/Logging_1421/knärot/A 5634-2025 karta knärot.png", "A 5634-2025")</f>
        <v/>
      </c>
      <c r="V21">
        <f>HYPERLINK("https://klasma.github.io/Logging_1421/klagomål/A 5634-2025 FSC-klagomål.docx", "A 5634-2025")</f>
        <v/>
      </c>
      <c r="W21">
        <f>HYPERLINK("https://klasma.github.io/Logging_1421/klagomålsmail/A 5634-2025 FSC-klagomål mail.docx", "A 5634-2025")</f>
        <v/>
      </c>
      <c r="X21">
        <f>HYPERLINK("https://klasma.github.io/Logging_1421/tillsyn/A 5634-2025 tillsynsbegäran.docx", "A 5634-2025")</f>
        <v/>
      </c>
      <c r="Y21">
        <f>HYPERLINK("https://klasma.github.io/Logging_1421/tillsynsmail/A 5634-2025 tillsynsbegäran mail.docx", "A 5634-2025")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45998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45998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33954-2022</t>
        </is>
      </c>
      <c r="B24" s="1" t="n">
        <v>44790</v>
      </c>
      <c r="C24" s="1" t="n">
        <v>45998</v>
      </c>
      <c r="D24" t="inlineStr">
        <is>
          <t>VÄSTRA GÖTALANDS LÄN</t>
        </is>
      </c>
      <c r="E24" t="inlineStr">
        <is>
          <t>ORUST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9182-2021</t>
        </is>
      </c>
      <c r="B25" s="1" t="n">
        <v>44250</v>
      </c>
      <c r="C25" s="1" t="n">
        <v>45998</v>
      </c>
      <c r="D25" t="inlineStr">
        <is>
          <t>VÄSTRA GÖTALANDS LÄN</t>
        </is>
      </c>
      <c r="E25" t="inlineStr">
        <is>
          <t>ORUST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46629-2021</t>
        </is>
      </c>
      <c r="B26" s="1" t="n">
        <v>44445</v>
      </c>
      <c r="C26" s="1" t="n">
        <v>45998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41592-2022</t>
        </is>
      </c>
      <c r="B27" s="1" t="n">
        <v>44827</v>
      </c>
      <c r="C27" s="1" t="n">
        <v>45998</v>
      </c>
      <c r="D27" t="inlineStr">
        <is>
          <t>VÄSTRA GÖTALANDS LÄN</t>
        </is>
      </c>
      <c r="E27" t="inlineStr">
        <is>
          <t>ORUST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47876-2021</t>
        </is>
      </c>
      <c r="B28" s="1" t="n">
        <v>44448</v>
      </c>
      <c r="C28" s="1" t="n">
        <v>45998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47885-2021</t>
        </is>
      </c>
      <c r="B29" s="1" t="n">
        <v>44448</v>
      </c>
      <c r="C29" s="1" t="n">
        <v>45998</v>
      </c>
      <c r="D29" t="inlineStr">
        <is>
          <t>VÄSTRA GÖTALANDS LÄN</t>
        </is>
      </c>
      <c r="E29" t="inlineStr">
        <is>
          <t>ORUST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68727-2021</t>
        </is>
      </c>
      <c r="B30" s="1" t="n">
        <v>44529</v>
      </c>
      <c r="C30" s="1" t="n">
        <v>45998</v>
      </c>
      <c r="D30" t="inlineStr">
        <is>
          <t>VÄSTRA GÖTALANDS LÄN</t>
        </is>
      </c>
      <c r="E30" t="inlineStr">
        <is>
          <t>ORUST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45998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45998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45998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45998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45998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45998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45998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45998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45998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564-2022</t>
        </is>
      </c>
      <c r="B40" s="1" t="n">
        <v>44566.74335648148</v>
      </c>
      <c r="C40" s="1" t="n">
        <v>45998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45998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15006-2022</t>
        </is>
      </c>
      <c r="B42" s="1" t="n">
        <v>44657</v>
      </c>
      <c r="C42" s="1" t="n">
        <v>45998</v>
      </c>
      <c r="D42" t="inlineStr">
        <is>
          <t>VÄSTRA GÖTALANDS LÄN</t>
        </is>
      </c>
      <c r="E42" t="inlineStr">
        <is>
          <t>ORUST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45998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56496-2021</t>
        </is>
      </c>
      <c r="B44" s="1" t="n">
        <v>44480</v>
      </c>
      <c r="C44" s="1" t="n">
        <v>45998</v>
      </c>
      <c r="D44" t="inlineStr">
        <is>
          <t>VÄSTRA GÖTALANDS LÄN</t>
        </is>
      </c>
      <c r="E44" t="inlineStr">
        <is>
          <t>ORUST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45998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8286-2022</t>
        </is>
      </c>
      <c r="B46" s="1" t="n">
        <v>44610</v>
      </c>
      <c r="C46" s="1" t="n">
        <v>45998</v>
      </c>
      <c r="D46" t="inlineStr">
        <is>
          <t>VÄSTRA GÖTALANDS LÄN</t>
        </is>
      </c>
      <c r="E46" t="inlineStr">
        <is>
          <t>ORUST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45998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45998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34380-2022</t>
        </is>
      </c>
      <c r="B49" s="1" t="n">
        <v>44792</v>
      </c>
      <c r="C49" s="1" t="n">
        <v>45998</v>
      </c>
      <c r="D49" t="inlineStr">
        <is>
          <t>VÄSTRA GÖTALANDS LÄN</t>
        </is>
      </c>
      <c r="E49" t="inlineStr">
        <is>
          <t>ORUST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45998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59309-2023</t>
        </is>
      </c>
      <c r="B51" s="1" t="n">
        <v>45253.606875</v>
      </c>
      <c r="C51" s="1" t="n">
        <v>45998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36404-2024</t>
        </is>
      </c>
      <c r="B52" s="1" t="n">
        <v>45535.70535879629</v>
      </c>
      <c r="C52" s="1" t="n">
        <v>45998</v>
      </c>
      <c r="D52" t="inlineStr">
        <is>
          <t>VÄSTRA GÖTALANDS LÄN</t>
        </is>
      </c>
      <c r="E52" t="inlineStr">
        <is>
          <t>ORUST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45998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45998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45088-2021</t>
        </is>
      </c>
      <c r="B55" s="1" t="n">
        <v>44439.391875</v>
      </c>
      <c r="C55" s="1" t="n">
        <v>45998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23682-2024</t>
        </is>
      </c>
      <c r="B56" s="1" t="n">
        <v>45454.62754629629</v>
      </c>
      <c r="C56" s="1" t="n">
        <v>45998</v>
      </c>
      <c r="D56" t="inlineStr">
        <is>
          <t>VÄSTRA GÖTALANDS LÄN</t>
        </is>
      </c>
      <c r="E56" t="inlineStr">
        <is>
          <t>ORUST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20089-2025</t>
        </is>
      </c>
      <c r="B57" s="1" t="n">
        <v>45771</v>
      </c>
      <c r="C57" s="1" t="n">
        <v>45998</v>
      </c>
      <c r="D57" t="inlineStr">
        <is>
          <t>VÄSTRA GÖTALANDS LÄN</t>
        </is>
      </c>
      <c r="E57" t="inlineStr">
        <is>
          <t>ORUST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22750-2024</t>
        </is>
      </c>
      <c r="B58" s="1" t="n">
        <v>45448.41990740741</v>
      </c>
      <c r="C58" s="1" t="n">
        <v>45998</v>
      </c>
      <c r="D58" t="inlineStr">
        <is>
          <t>VÄSTRA GÖTALANDS LÄN</t>
        </is>
      </c>
      <c r="E58" t="inlineStr">
        <is>
          <t>ORUST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28109-2024</t>
        </is>
      </c>
      <c r="B59" s="1" t="n">
        <v>45476.63284722222</v>
      </c>
      <c r="C59" s="1" t="n">
        <v>45998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5714-2024</t>
        </is>
      </c>
      <c r="B60" s="1" t="n">
        <v>45334.87804398148</v>
      </c>
      <c r="C60" s="1" t="n">
        <v>45998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45998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6986-2024</t>
        </is>
      </c>
      <c r="B62" s="1" t="n">
        <v>45343.48984953704</v>
      </c>
      <c r="C62" s="1" t="n">
        <v>45998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5715-2024</t>
        </is>
      </c>
      <c r="B63" s="1" t="n">
        <v>45334</v>
      </c>
      <c r="C63" s="1" t="n">
        <v>45998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62086-2022</t>
        </is>
      </c>
      <c r="B64" s="1" t="n">
        <v>44919.46138888889</v>
      </c>
      <c r="C64" s="1" t="n">
        <v>45998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45998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45998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6957-2024</t>
        </is>
      </c>
      <c r="B67" s="1" t="n">
        <v>45343.45112268518</v>
      </c>
      <c r="C67" s="1" t="n">
        <v>45998</v>
      </c>
      <c r="D67" t="inlineStr">
        <is>
          <t>VÄSTRA GÖTALANDS LÄN</t>
        </is>
      </c>
      <c r="E67" t="inlineStr">
        <is>
          <t>ORUST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34056-2024</t>
        </is>
      </c>
      <c r="B68" s="1" t="n">
        <v>45523.6125</v>
      </c>
      <c r="C68" s="1" t="n">
        <v>45998</v>
      </c>
      <c r="D68" t="inlineStr">
        <is>
          <t>VÄSTRA GÖTALANDS LÄN</t>
        </is>
      </c>
      <c r="E68" t="inlineStr">
        <is>
          <t>ORUST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2632-2024</t>
        </is>
      </c>
      <c r="B69" s="1" t="n">
        <v>45313.97175925926</v>
      </c>
      <c r="C69" s="1" t="n">
        <v>45998</v>
      </c>
      <c r="D69" t="inlineStr">
        <is>
          <t>VÄSTRA GÖTALANDS LÄN</t>
        </is>
      </c>
      <c r="E69" t="inlineStr">
        <is>
          <t>ORUST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59915-2024</t>
        </is>
      </c>
      <c r="B70" s="1" t="n">
        <v>45641.74975694445</v>
      </c>
      <c r="C70" s="1" t="n">
        <v>45998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1663-2024</t>
        </is>
      </c>
      <c r="B71" s="1" t="n">
        <v>45306</v>
      </c>
      <c r="C71" s="1" t="n">
        <v>45998</v>
      </c>
      <c r="D71" t="inlineStr">
        <is>
          <t>VÄSTRA GÖTALANDS LÄN</t>
        </is>
      </c>
      <c r="E71" t="inlineStr">
        <is>
          <t>ORUST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57877-2022</t>
        </is>
      </c>
      <c r="B72" s="1" t="n">
        <v>44899.8749537037</v>
      </c>
      <c r="C72" s="1" t="n">
        <v>45998</v>
      </c>
      <c r="D72" t="inlineStr">
        <is>
          <t>VÄSTRA GÖTALANDS LÄN</t>
        </is>
      </c>
      <c r="E72" t="inlineStr">
        <is>
          <t>ORUST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13378-2023</t>
        </is>
      </c>
      <c r="B73" s="1" t="n">
        <v>45005.50077546296</v>
      </c>
      <c r="C73" s="1" t="n">
        <v>45998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32175-2024</t>
        </is>
      </c>
      <c r="B74" s="1" t="n">
        <v>45511.61238425926</v>
      </c>
      <c r="C74" s="1" t="n">
        <v>45998</v>
      </c>
      <c r="D74" t="inlineStr">
        <is>
          <t>VÄSTRA GÖTALANDS LÄN</t>
        </is>
      </c>
      <c r="E74" t="inlineStr">
        <is>
          <t>ORUST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63626-2023</t>
        </is>
      </c>
      <c r="B75" s="1" t="n">
        <v>45275</v>
      </c>
      <c r="C75" s="1" t="n">
        <v>45998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37130-2024</t>
        </is>
      </c>
      <c r="B76" s="1" t="n">
        <v>45539.57060185185</v>
      </c>
      <c r="C76" s="1" t="n">
        <v>45998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23046-2024</t>
        </is>
      </c>
      <c r="B77" s="1" t="n">
        <v>45450.4240625</v>
      </c>
      <c r="C77" s="1" t="n">
        <v>45998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5617-2024</t>
        </is>
      </c>
      <c r="B78" s="1" t="n">
        <v>45334.58319444444</v>
      </c>
      <c r="C78" s="1" t="n">
        <v>45998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5617-2024 karta knärot.png", "A 5617-2024")</f>
        <v/>
      </c>
      <c r="V78">
        <f>HYPERLINK("https://klasma.github.io/Logging_1421/klagomål/A 5617-2024 FSC-klagomål.docx", "A 5617-2024")</f>
        <v/>
      </c>
      <c r="W78">
        <f>HYPERLINK("https://klasma.github.io/Logging_1421/klagomålsmail/A 5617-2024 FSC-klagomål mail.docx", "A 5617-2024")</f>
        <v/>
      </c>
      <c r="X78">
        <f>HYPERLINK("https://klasma.github.io/Logging_1421/tillsyn/A 5617-2024 tillsynsbegäran.docx", "A 5617-2024")</f>
        <v/>
      </c>
      <c r="Y78">
        <f>HYPERLINK("https://klasma.github.io/Logging_1421/tillsynsmail/A 5617-2024 tillsynsbegäran mail.docx", "A 5617-2024")</f>
        <v/>
      </c>
    </row>
    <row r="79" ht="15" customHeight="1">
      <c r="A79" t="inlineStr">
        <is>
          <t>A 5926-2024</t>
        </is>
      </c>
      <c r="B79" s="1" t="n">
        <v>45336</v>
      </c>
      <c r="C79" s="1" t="n">
        <v>45998</v>
      </c>
      <c r="D79" t="inlineStr">
        <is>
          <t>VÄSTRA GÖTALANDS LÄN</t>
        </is>
      </c>
      <c r="E79" t="inlineStr">
        <is>
          <t>ORUST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44233-2023</t>
        </is>
      </c>
      <c r="B80" s="1" t="n">
        <v>45183</v>
      </c>
      <c r="C80" s="1" t="n">
        <v>45998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HYPERLINK("https://klasma.github.io/Logging_1421/knärot/A 44233-2023 karta knärot.png", "A 44233-2023")</f>
        <v/>
      </c>
      <c r="V80">
        <f>HYPERLINK("https://klasma.github.io/Logging_1421/klagomål/A 44233-2023 FSC-klagomål.docx", "A 44233-2023")</f>
        <v/>
      </c>
      <c r="W80">
        <f>HYPERLINK("https://klasma.github.io/Logging_1421/klagomålsmail/A 44233-2023 FSC-klagomål mail.docx", "A 44233-2023")</f>
        <v/>
      </c>
      <c r="X80">
        <f>HYPERLINK("https://klasma.github.io/Logging_1421/tillsyn/A 44233-2023 tillsynsbegäran.docx", "A 44233-2023")</f>
        <v/>
      </c>
      <c r="Y80">
        <f>HYPERLINK("https://klasma.github.io/Logging_1421/tillsynsmail/A 44233-2023 tillsynsbegäran mail.docx", "A 44233-2023")</f>
        <v/>
      </c>
    </row>
    <row r="81" ht="15" customHeight="1">
      <c r="A81" t="inlineStr">
        <is>
          <t>A 20898-2021</t>
        </is>
      </c>
      <c r="B81" s="1" t="n">
        <v>44319.41962962963</v>
      </c>
      <c r="C81" s="1" t="n">
        <v>45998</v>
      </c>
      <c r="D81" t="inlineStr">
        <is>
          <t>VÄSTRA GÖTALANDS LÄN</t>
        </is>
      </c>
      <c r="E81" t="inlineStr">
        <is>
          <t>ORUST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25925-2024</t>
        </is>
      </c>
      <c r="B82" s="1" t="n">
        <v>45467.6122337963</v>
      </c>
      <c r="C82" s="1" t="n">
        <v>45998</v>
      </c>
      <c r="D82" t="inlineStr">
        <is>
          <t>VÄSTRA GÖTALANDS LÄN</t>
        </is>
      </c>
      <c r="E82" t="inlineStr">
        <is>
          <t>ORUST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37522-2024</t>
        </is>
      </c>
      <c r="B83" s="1" t="n">
        <v>45541</v>
      </c>
      <c r="C83" s="1" t="n">
        <v>45998</v>
      </c>
      <c r="D83" t="inlineStr">
        <is>
          <t>VÄSTRA GÖTALANDS LÄN</t>
        </is>
      </c>
      <c r="E83" t="inlineStr">
        <is>
          <t>ORUST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5152-2025</t>
        </is>
      </c>
      <c r="B84" s="1" t="n">
        <v>45691.6000462963</v>
      </c>
      <c r="C84" s="1" t="n">
        <v>45998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34155-2024</t>
        </is>
      </c>
      <c r="B85" s="1" t="n">
        <v>45524.3860300926</v>
      </c>
      <c r="C85" s="1" t="n">
        <v>45998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18791-2023</t>
        </is>
      </c>
      <c r="B86" s="1" t="n">
        <v>45044</v>
      </c>
      <c r="C86" s="1" t="n">
        <v>45998</v>
      </c>
      <c r="D86" t="inlineStr">
        <is>
          <t>VÄSTRA GÖTALANDS LÄN</t>
        </is>
      </c>
      <c r="E86" t="inlineStr">
        <is>
          <t>ORUST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49822-2022</t>
        </is>
      </c>
      <c r="B87" s="1" t="n">
        <v>44862</v>
      </c>
      <c r="C87" s="1" t="n">
        <v>45998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57878-2022</t>
        </is>
      </c>
      <c r="B88" s="1" t="n">
        <v>44899.875625</v>
      </c>
      <c r="C88" s="1" t="n">
        <v>45998</v>
      </c>
      <c r="D88" t="inlineStr">
        <is>
          <t>VÄSTRA GÖTALANDS LÄN</t>
        </is>
      </c>
      <c r="E88" t="inlineStr">
        <is>
          <t>ORUST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42712-2023</t>
        </is>
      </c>
      <c r="B89" s="1" t="n">
        <v>45181.61869212963</v>
      </c>
      <c r="C89" s="1" t="n">
        <v>45998</v>
      </c>
      <c r="D89" t="inlineStr">
        <is>
          <t>VÄSTRA GÖTALANDS LÄN</t>
        </is>
      </c>
      <c r="E89" t="inlineStr">
        <is>
          <t>ORUST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45998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20819-2023</t>
        </is>
      </c>
      <c r="B91" s="1" t="n">
        <v>45058</v>
      </c>
      <c r="C91" s="1" t="n">
        <v>45998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44543.78116898148</v>
      </c>
      <c r="C92" s="1" t="n">
        <v>45998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22452-2021</t>
        </is>
      </c>
      <c r="B93" s="1" t="n">
        <v>44326</v>
      </c>
      <c r="C93" s="1" t="n">
        <v>45998</v>
      </c>
      <c r="D93" t="inlineStr">
        <is>
          <t>VÄSTRA GÖTALANDS LÄN</t>
        </is>
      </c>
      <c r="E93" t="inlineStr">
        <is>
          <t>ORUST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49134-2021</t>
        </is>
      </c>
      <c r="B94" s="1" t="n">
        <v>44453</v>
      </c>
      <c r="C94" s="1" t="n">
        <v>45998</v>
      </c>
      <c r="D94" t="inlineStr">
        <is>
          <t>VÄSTRA GÖTALANDS LÄN</t>
        </is>
      </c>
      <c r="E94" t="inlineStr">
        <is>
          <t>ORUST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46708-2023</t>
        </is>
      </c>
      <c r="B95" s="1" t="n">
        <v>45198</v>
      </c>
      <c r="C95" s="1" t="n">
        <v>45998</v>
      </c>
      <c r="D95" t="inlineStr">
        <is>
          <t>VÄSTRA GÖTALANDS LÄN</t>
        </is>
      </c>
      <c r="E95" t="inlineStr">
        <is>
          <t>ORUST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40722-2024</t>
        </is>
      </c>
      <c r="B96" s="1" t="n">
        <v>45558.44460648148</v>
      </c>
      <c r="C96" s="1" t="n">
        <v>45998</v>
      </c>
      <c r="D96" t="inlineStr">
        <is>
          <t>VÄSTRA GÖTALANDS LÄN</t>
        </is>
      </c>
      <c r="E96" t="inlineStr">
        <is>
          <t>ORUST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62369-2023</t>
        </is>
      </c>
      <c r="B97" s="1" t="n">
        <v>45268.30483796296</v>
      </c>
      <c r="C97" s="1" t="n">
        <v>45998</v>
      </c>
      <c r="D97" t="inlineStr">
        <is>
          <t>VÄSTRA GÖTALANDS LÄN</t>
        </is>
      </c>
      <c r="E97" t="inlineStr">
        <is>
          <t>ORUST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43228-2024</t>
        </is>
      </c>
      <c r="B98" s="1" t="n">
        <v>45567.8855787037</v>
      </c>
      <c r="C98" s="1" t="n">
        <v>45998</v>
      </c>
      <c r="D98" t="inlineStr">
        <is>
          <t>VÄSTRA GÖTALANDS LÄN</t>
        </is>
      </c>
      <c r="E98" t="inlineStr">
        <is>
          <t>ORUST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45998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43752-2023</t>
        </is>
      </c>
      <c r="B100" s="1" t="n">
        <v>45187</v>
      </c>
      <c r="C100" s="1" t="n">
        <v>45998</v>
      </c>
      <c r="D100" t="inlineStr">
        <is>
          <t>VÄSTRA GÖTALANDS LÄN</t>
        </is>
      </c>
      <c r="E100" t="inlineStr">
        <is>
          <t>ORUST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13243-2023</t>
        </is>
      </c>
      <c r="B101" s="1" t="n">
        <v>45002</v>
      </c>
      <c r="C101" s="1" t="n">
        <v>45998</v>
      </c>
      <c r="D101" t="inlineStr">
        <is>
          <t>VÄSTRA GÖTALANDS LÄN</t>
        </is>
      </c>
      <c r="E101" t="inlineStr">
        <is>
          <t>ORUST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45998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18954-2025</t>
        </is>
      </c>
      <c r="B103" s="1" t="n">
        <v>45764.51478009259</v>
      </c>
      <c r="C103" s="1" t="n">
        <v>45998</v>
      </c>
      <c r="D103" t="inlineStr">
        <is>
          <t>VÄSTRA GÖTALANDS LÄN</t>
        </is>
      </c>
      <c r="E103" t="inlineStr">
        <is>
          <t>ORUST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45998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3750-2022</t>
        </is>
      </c>
      <c r="B105" s="1" t="n">
        <v>44586.71618055556</v>
      </c>
      <c r="C105" s="1" t="n">
        <v>45998</v>
      </c>
      <c r="D105" t="inlineStr">
        <is>
          <t>VÄSTRA GÖTALANDS LÄN</t>
        </is>
      </c>
      <c r="E105" t="inlineStr">
        <is>
          <t>ORUST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11356-2025</t>
        </is>
      </c>
      <c r="B106" s="1" t="n">
        <v>45726.52880787037</v>
      </c>
      <c r="C106" s="1" t="n">
        <v>45998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63419-2023</t>
        </is>
      </c>
      <c r="B107" s="1" t="n">
        <v>45274</v>
      </c>
      <c r="C107" s="1" t="n">
        <v>45998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37000-2023</t>
        </is>
      </c>
      <c r="B108" s="1" t="n">
        <v>45155.26925925926</v>
      </c>
      <c r="C108" s="1" t="n">
        <v>45998</v>
      </c>
      <c r="D108" t="inlineStr">
        <is>
          <t>VÄSTRA GÖTALANDS LÄN</t>
        </is>
      </c>
      <c r="E108" t="inlineStr">
        <is>
          <t>ORUST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6485-2024</t>
        </is>
      </c>
      <c r="B109" s="1" t="n">
        <v>45339.40619212963</v>
      </c>
      <c r="C109" s="1" t="n">
        <v>45998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13377-2023</t>
        </is>
      </c>
      <c r="B110" s="1" t="n">
        <v>45005.49668981481</v>
      </c>
      <c r="C110" s="1" t="n">
        <v>45998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61302-2024</t>
        </is>
      </c>
      <c r="B111" s="1" t="n">
        <v>45645.90855324074</v>
      </c>
      <c r="C111" s="1" t="n">
        <v>45998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50562-2024</t>
        </is>
      </c>
      <c r="B112" s="1" t="n">
        <v>45601.59825231481</v>
      </c>
      <c r="C112" s="1" t="n">
        <v>45998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36999-2023</t>
        </is>
      </c>
      <c r="B113" s="1" t="n">
        <v>45155.24585648148</v>
      </c>
      <c r="C113" s="1" t="n">
        <v>45998</v>
      </c>
      <c r="D113" t="inlineStr">
        <is>
          <t>VÄSTRA GÖTALANDS LÄN</t>
        </is>
      </c>
      <c r="E113" t="inlineStr">
        <is>
          <t>ORUST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36695-2025</t>
        </is>
      </c>
      <c r="B114" s="1" t="n">
        <v>45872</v>
      </c>
      <c r="C114" s="1" t="n">
        <v>45998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45998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30440-2024</t>
        </is>
      </c>
      <c r="B116" s="1" t="n">
        <v>45491.81488425926</v>
      </c>
      <c r="C116" s="1" t="n">
        <v>45998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49134-2021</t>
        </is>
      </c>
      <c r="B117" s="1" t="n">
        <v>44453</v>
      </c>
      <c r="C117" s="1" t="n">
        <v>45998</v>
      </c>
      <c r="D117" t="inlineStr">
        <is>
          <t>VÄSTRA GÖTALANDS LÄN</t>
        </is>
      </c>
      <c r="E117" t="inlineStr">
        <is>
          <t>ORUST</t>
        </is>
      </c>
      <c r="F117" t="inlineStr">
        <is>
          <t>Kommuner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36719-2025</t>
        </is>
      </c>
      <c r="B118" s="1" t="n">
        <v>45872</v>
      </c>
      <c r="C118" s="1" t="n">
        <v>45998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44924.61912037037</v>
      </c>
      <c r="C119" s="1" t="n">
        <v>45998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22959-2025</t>
        </is>
      </c>
      <c r="B120" s="1" t="n">
        <v>45790</v>
      </c>
      <c r="C120" s="1" t="n">
        <v>45998</v>
      </c>
      <c r="D120" t="inlineStr">
        <is>
          <t>VÄSTRA GÖTALANDS LÄN</t>
        </is>
      </c>
      <c r="E120" t="inlineStr">
        <is>
          <t>ORUST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1288-2025</t>
        </is>
      </c>
      <c r="B121" s="1" t="n">
        <v>45667.50971064815</v>
      </c>
      <c r="C121" s="1" t="n">
        <v>45998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9937-2025</t>
        </is>
      </c>
      <c r="B122" s="1" t="n">
        <v>45718.64129629629</v>
      </c>
      <c r="C122" s="1" t="n">
        <v>45998</v>
      </c>
      <c r="D122" t="inlineStr">
        <is>
          <t>VÄSTRA GÖTALANDS LÄN</t>
        </is>
      </c>
      <c r="E122" t="inlineStr">
        <is>
          <t>ORUST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50532-2024</t>
        </is>
      </c>
      <c r="B123" s="1" t="n">
        <v>45601.56552083333</v>
      </c>
      <c r="C123" s="1" t="n">
        <v>45998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23258-2025</t>
        </is>
      </c>
      <c r="B124" s="1" t="n">
        <v>45791.53902777778</v>
      </c>
      <c r="C124" s="1" t="n">
        <v>45998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39219-2025</t>
        </is>
      </c>
      <c r="B125" s="1" t="n">
        <v>45888</v>
      </c>
      <c r="C125" s="1" t="n">
        <v>45998</v>
      </c>
      <c r="D125" t="inlineStr">
        <is>
          <t>VÄSTRA GÖTALANDS LÄN</t>
        </is>
      </c>
      <c r="E125" t="inlineStr">
        <is>
          <t>ORUST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47405-2025</t>
        </is>
      </c>
      <c r="B126" s="1" t="n">
        <v>45930.61258101852</v>
      </c>
      <c r="C126" s="1" t="n">
        <v>45998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24179-2025</t>
        </is>
      </c>
      <c r="B127" s="1" t="n">
        <v>45796.72856481482</v>
      </c>
      <c r="C127" s="1" t="n">
        <v>45998</v>
      </c>
      <c r="D127" t="inlineStr">
        <is>
          <t>VÄSTRA GÖTALANDS LÄN</t>
        </is>
      </c>
      <c r="E127" t="inlineStr">
        <is>
          <t>ORUST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47404-2025</t>
        </is>
      </c>
      <c r="B128" s="1" t="n">
        <v>45930.61149305556</v>
      </c>
      <c r="C128" s="1" t="n">
        <v>45998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40442-2025</t>
        </is>
      </c>
      <c r="B129" s="1" t="n">
        <v>45895</v>
      </c>
      <c r="C129" s="1" t="n">
        <v>45998</v>
      </c>
      <c r="D129" t="inlineStr">
        <is>
          <t>VÄSTRA GÖTALANDS LÄN</t>
        </is>
      </c>
      <c r="E129" t="inlineStr">
        <is>
          <t>ORUST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40328-2025</t>
        </is>
      </c>
      <c r="B130" s="1" t="n">
        <v>45895</v>
      </c>
      <c r="C130" s="1" t="n">
        <v>45998</v>
      </c>
      <c r="D130" t="inlineStr">
        <is>
          <t>VÄSTRA GÖTALANDS LÄN</t>
        </is>
      </c>
      <c r="E130" t="inlineStr">
        <is>
          <t>ORUST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40338-2025</t>
        </is>
      </c>
      <c r="B131" s="1" t="n">
        <v>45895</v>
      </c>
      <c r="C131" s="1" t="n">
        <v>45998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41063-2025</t>
        </is>
      </c>
      <c r="B132" s="1" t="n">
        <v>45898</v>
      </c>
      <c r="C132" s="1" t="n">
        <v>45998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47630-2025</t>
        </is>
      </c>
      <c r="B133" s="1" t="n">
        <v>45931.48855324074</v>
      </c>
      <c r="C133" s="1" t="n">
        <v>45998</v>
      </c>
      <c r="D133" t="inlineStr">
        <is>
          <t>VÄSTRA GÖTALANDS LÄN</t>
        </is>
      </c>
      <c r="E133" t="inlineStr">
        <is>
          <t>ORUST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40681-2025</t>
        </is>
      </c>
      <c r="B134" s="1" t="n">
        <v>45896.85623842593</v>
      </c>
      <c r="C134" s="1" t="n">
        <v>45998</v>
      </c>
      <c r="D134" t="inlineStr">
        <is>
          <t>VÄSTRA GÖTALANDS LÄN</t>
        </is>
      </c>
      <c r="E134" t="inlineStr">
        <is>
          <t>ORUST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13521-2025</t>
        </is>
      </c>
      <c r="B135" s="1" t="n">
        <v>45736.48755787037</v>
      </c>
      <c r="C135" s="1" t="n">
        <v>45998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13536-2025</t>
        </is>
      </c>
      <c r="B136" s="1" t="n">
        <v>45736.51413194444</v>
      </c>
      <c r="C136" s="1" t="n">
        <v>45998</v>
      </c>
      <c r="D136" t="inlineStr">
        <is>
          <t>VÄSTRA GÖTALANDS LÄN</t>
        </is>
      </c>
      <c r="E136" t="inlineStr">
        <is>
          <t>ORUST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47884-2024</t>
        </is>
      </c>
      <c r="B137" s="1" t="n">
        <v>45588.81101851852</v>
      </c>
      <c r="C137" s="1" t="n">
        <v>45998</v>
      </c>
      <c r="D137" t="inlineStr">
        <is>
          <t>VÄSTRA GÖTALANDS LÄN</t>
        </is>
      </c>
      <c r="E137" t="inlineStr">
        <is>
          <t>ORUST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41688-2025</t>
        </is>
      </c>
      <c r="B138" s="1" t="n">
        <v>45902.39888888889</v>
      </c>
      <c r="C138" s="1" t="n">
        <v>45998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56654-2025</t>
        </is>
      </c>
      <c r="B139" s="1" t="n">
        <v>45975.64869212963</v>
      </c>
      <c r="C139" s="1" t="n">
        <v>45998</v>
      </c>
      <c r="D139" t="inlineStr">
        <is>
          <t>VÄSTRA GÖTALANDS LÄN</t>
        </is>
      </c>
      <c r="E139" t="inlineStr">
        <is>
          <t>ORUST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41881-2025</t>
        </is>
      </c>
      <c r="B140" s="1" t="n">
        <v>45903.36444444444</v>
      </c>
      <c r="C140" s="1" t="n">
        <v>45998</v>
      </c>
      <c r="D140" t="inlineStr">
        <is>
          <t>VÄSTRA GÖTALANDS LÄN</t>
        </is>
      </c>
      <c r="E140" t="inlineStr">
        <is>
          <t>ORUST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42069-2025</t>
        </is>
      </c>
      <c r="B141" s="1" t="n">
        <v>45903.65700231482</v>
      </c>
      <c r="C141" s="1" t="n">
        <v>45998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42457-2025</t>
        </is>
      </c>
      <c r="B142" s="1" t="n">
        <v>45905.45289351852</v>
      </c>
      <c r="C142" s="1" t="n">
        <v>45998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46119-2025</t>
        </is>
      </c>
      <c r="B143" s="1" t="n">
        <v>45924</v>
      </c>
      <c r="C143" s="1" t="n">
        <v>45998</v>
      </c>
      <c r="D143" t="inlineStr">
        <is>
          <t>VÄSTRA GÖTALANDS LÄN</t>
        </is>
      </c>
      <c r="E143" t="inlineStr">
        <is>
          <t>ORUST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14760-2025</t>
        </is>
      </c>
      <c r="B144" s="1" t="n">
        <v>45742</v>
      </c>
      <c r="C144" s="1" t="n">
        <v>45998</v>
      </c>
      <c r="D144" t="inlineStr">
        <is>
          <t>VÄSTRA GÖTALANDS LÄN</t>
        </is>
      </c>
      <c r="E144" t="inlineStr">
        <is>
          <t>ORUST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23259-2025</t>
        </is>
      </c>
      <c r="B145" s="1" t="n">
        <v>45791.53978009259</v>
      </c>
      <c r="C145" s="1" t="n">
        <v>45998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23254-2025</t>
        </is>
      </c>
      <c r="B146" s="1" t="n">
        <v>45791.5340162037</v>
      </c>
      <c r="C146" s="1" t="n">
        <v>45998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46121-2025</t>
        </is>
      </c>
      <c r="B147" s="1" t="n">
        <v>45924</v>
      </c>
      <c r="C147" s="1" t="n">
        <v>45998</v>
      </c>
      <c r="D147" t="inlineStr">
        <is>
          <t>VÄSTRA GÖTALANDS LÄN</t>
        </is>
      </c>
      <c r="E147" t="inlineStr">
        <is>
          <t>ORUST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34046-2024</t>
        </is>
      </c>
      <c r="B148" s="1" t="n">
        <v>45523.60449074074</v>
      </c>
      <c r="C148" s="1" t="n">
        <v>45998</v>
      </c>
      <c r="D148" t="inlineStr">
        <is>
          <t>VÄSTRA GÖTALANDS LÄN</t>
        </is>
      </c>
      <c r="E148" t="inlineStr">
        <is>
          <t>ORUST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48419-2025</t>
        </is>
      </c>
      <c r="B149" s="1" t="n">
        <v>45934.58502314815</v>
      </c>
      <c r="C149" s="1" t="n">
        <v>45998</v>
      </c>
      <c r="D149" t="inlineStr">
        <is>
          <t>VÄSTRA GÖTALANDS LÄN</t>
        </is>
      </c>
      <c r="E149" t="inlineStr">
        <is>
          <t>ORUST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40743-2024</t>
        </is>
      </c>
      <c r="B150" s="1" t="n">
        <v>45558.45</v>
      </c>
      <c r="C150" s="1" t="n">
        <v>45998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49365-2025</t>
        </is>
      </c>
      <c r="B151" s="1" t="n">
        <v>45938.62341435185</v>
      </c>
      <c r="C151" s="1" t="n">
        <v>45998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24321-2025</t>
        </is>
      </c>
      <c r="B152" s="1" t="n">
        <v>45797</v>
      </c>
      <c r="C152" s="1" t="n">
        <v>45998</v>
      </c>
      <c r="D152" t="inlineStr">
        <is>
          <t>VÄSTRA GÖTALANDS LÄN</t>
        </is>
      </c>
      <c r="E152" t="inlineStr">
        <is>
          <t>ORUST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49072-2025</t>
        </is>
      </c>
      <c r="B153" s="1" t="n">
        <v>45937.65501157408</v>
      </c>
      <c r="C153" s="1" t="n">
        <v>45998</v>
      </c>
      <c r="D153" t="inlineStr">
        <is>
          <t>VÄSTRA GÖTALANDS LÄN</t>
        </is>
      </c>
      <c r="E153" t="inlineStr">
        <is>
          <t>ORUST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45998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44417-2024</t>
        </is>
      </c>
      <c r="B155" s="1" t="n">
        <v>45573.8249537037</v>
      </c>
      <c r="C155" s="1" t="n">
        <v>45998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44754-2024</t>
        </is>
      </c>
      <c r="B156" s="1" t="n">
        <v>45574.61065972222</v>
      </c>
      <c r="C156" s="1" t="n">
        <v>45998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27277-2025</t>
        </is>
      </c>
      <c r="B157" s="1" t="n">
        <v>45812.52674768519</v>
      </c>
      <c r="C157" s="1" t="n">
        <v>45998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54128-2025</t>
        </is>
      </c>
      <c r="B158" s="1" t="n">
        <v>45964.45993055555</v>
      </c>
      <c r="C158" s="1" t="n">
        <v>45998</v>
      </c>
      <c r="D158" t="inlineStr">
        <is>
          <t>VÄSTRA GÖTALANDS LÄN</t>
        </is>
      </c>
      <c r="E158" t="inlineStr">
        <is>
          <t>ORUST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27555-2025</t>
        </is>
      </c>
      <c r="B159" s="1" t="n">
        <v>45813.47424768518</v>
      </c>
      <c r="C159" s="1" t="n">
        <v>45998</v>
      </c>
      <c r="D159" t="inlineStr">
        <is>
          <t>VÄSTRA GÖTALANDS LÄN</t>
        </is>
      </c>
      <c r="E159" t="inlineStr">
        <is>
          <t>ORUST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54279-2024</t>
        </is>
      </c>
      <c r="B160" s="1" t="n">
        <v>45616.855</v>
      </c>
      <c r="C160" s="1" t="n">
        <v>45998</v>
      </c>
      <c r="D160" t="inlineStr">
        <is>
          <t>VÄSTRA GÖTALANDS LÄN</t>
        </is>
      </c>
      <c r="E160" t="inlineStr">
        <is>
          <t>ORUST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58852-2025</t>
        </is>
      </c>
      <c r="B161" s="1" t="n">
        <v>45987.40355324074</v>
      </c>
      <c r="C161" s="1" t="n">
        <v>45998</v>
      </c>
      <c r="D161" t="inlineStr">
        <is>
          <t>VÄSTRA GÖTALANDS LÄN</t>
        </is>
      </c>
      <c r="E161" t="inlineStr">
        <is>
          <t>ORUST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58853-2025</t>
        </is>
      </c>
      <c r="B162" s="1" t="n">
        <v>45987.40476851852</v>
      </c>
      <c r="C162" s="1" t="n">
        <v>45998</v>
      </c>
      <c r="D162" t="inlineStr">
        <is>
          <t>VÄSTRA GÖTALANDS LÄN</t>
        </is>
      </c>
      <c r="E162" t="inlineStr">
        <is>
          <t>ORUST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59834-2025</t>
        </is>
      </c>
      <c r="B163" s="1" t="n">
        <v>45992.66811342593</v>
      </c>
      <c r="C163" s="1" t="n">
        <v>45998</v>
      </c>
      <c r="D163" t="inlineStr">
        <is>
          <t>VÄSTRA GÖTALANDS LÄN</t>
        </is>
      </c>
      <c r="E163" t="inlineStr">
        <is>
          <t>ORUST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31617-2025</t>
        </is>
      </c>
      <c r="B164" s="1" t="n">
        <v>45833</v>
      </c>
      <c r="C164" s="1" t="n">
        <v>45998</v>
      </c>
      <c r="D164" t="inlineStr">
        <is>
          <t>VÄSTRA GÖTALANDS LÄN</t>
        </is>
      </c>
      <c r="E164" t="inlineStr">
        <is>
          <t>ORUST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33300-2025</t>
        </is>
      </c>
      <c r="B165" s="1" t="n">
        <v>45840.93423611111</v>
      </c>
      <c r="C165" s="1" t="n">
        <v>45998</v>
      </c>
      <c r="D165" t="inlineStr">
        <is>
          <t>VÄSTRA GÖTALANDS LÄN</t>
        </is>
      </c>
      <c r="E165" t="inlineStr">
        <is>
          <t>ORUST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33295-2025</t>
        </is>
      </c>
      <c r="B166" s="1" t="n">
        <v>45840.92070601852</v>
      </c>
      <c r="C166" s="1" t="n">
        <v>45998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33296-2025</t>
        </is>
      </c>
      <c r="B167" s="1" t="n">
        <v>45840.92538194444</v>
      </c>
      <c r="C167" s="1" t="n">
        <v>45998</v>
      </c>
      <c r="D167" t="inlineStr">
        <is>
          <t>VÄSTRA GÖTALANDS LÄN</t>
        </is>
      </c>
      <c r="E167" t="inlineStr">
        <is>
          <t>ORUST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33299-2025</t>
        </is>
      </c>
      <c r="B168" s="1" t="n">
        <v>45840.93229166666</v>
      </c>
      <c r="C168" s="1" t="n">
        <v>45998</v>
      </c>
      <c r="D168" t="inlineStr">
        <is>
          <t>VÄSTRA GÖTALANDS LÄN</t>
        </is>
      </c>
      <c r="E168" t="inlineStr">
        <is>
          <t>ORUST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20131-2025</t>
        </is>
      </c>
      <c r="B169" s="1" t="n">
        <v>45772.50918981482</v>
      </c>
      <c r="C169" s="1" t="n">
        <v>45998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34500-2025</t>
        </is>
      </c>
      <c r="B170" s="1" t="n">
        <v>45847.43075231482</v>
      </c>
      <c r="C170" s="1" t="n">
        <v>45998</v>
      </c>
      <c r="D170" t="inlineStr">
        <is>
          <t>VÄSTRA GÖTALANDS LÄN</t>
        </is>
      </c>
      <c r="E170" t="inlineStr">
        <is>
          <t>ORUST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34502-2025</t>
        </is>
      </c>
      <c r="B171" s="1" t="n">
        <v>45847.43163194445</v>
      </c>
      <c r="C171" s="1" t="n">
        <v>45998</v>
      </c>
      <c r="D171" t="inlineStr">
        <is>
          <t>VÄSTRA GÖTALANDS LÄN</t>
        </is>
      </c>
      <c r="E171" t="inlineStr">
        <is>
          <t>ORUST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51993-2022</t>
        </is>
      </c>
      <c r="B172" s="1" t="n">
        <v>44872</v>
      </c>
      <c r="C172" s="1" t="n">
        <v>45998</v>
      </c>
      <c r="D172" t="inlineStr">
        <is>
          <t>VÄSTRA GÖTALANDS LÄN</t>
        </is>
      </c>
      <c r="E172" t="inlineStr">
        <is>
          <t>ORUST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771-2023</t>
        </is>
      </c>
      <c r="B173" s="1" t="n">
        <v>44931</v>
      </c>
      <c r="C173" s="1" t="n">
        <v>45998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6613-2021</t>
        </is>
      </c>
      <c r="B174" s="1" t="n">
        <v>44236</v>
      </c>
      <c r="C174" s="1" t="n">
        <v>45998</v>
      </c>
      <c r="D174" t="inlineStr">
        <is>
          <t>VÄSTRA GÖTALANDS LÄN</t>
        </is>
      </c>
      <c r="E174" t="inlineStr">
        <is>
          <t>ORUST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34354-2023</t>
        </is>
      </c>
      <c r="B175" s="1" t="n">
        <v>45139</v>
      </c>
      <c r="C175" s="1" t="n">
        <v>45998</v>
      </c>
      <c r="D175" t="inlineStr">
        <is>
          <t>VÄSTRA GÖTALANDS LÄN</t>
        </is>
      </c>
      <c r="E175" t="inlineStr">
        <is>
          <t>ORUST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33454-2023</t>
        </is>
      </c>
      <c r="B176" s="1" t="n">
        <v>45130</v>
      </c>
      <c r="C176" s="1" t="n">
        <v>45998</v>
      </c>
      <c r="D176" t="inlineStr">
        <is>
          <t>VÄSTRA GÖTALANDS LÄN</t>
        </is>
      </c>
      <c r="E176" t="inlineStr">
        <is>
          <t>ORUST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2213-2025</t>
        </is>
      </c>
      <c r="B177" s="1" t="n">
        <v>45673.4359837963</v>
      </c>
      <c r="C177" s="1" t="n">
        <v>45998</v>
      </c>
      <c r="D177" t="inlineStr">
        <is>
          <t>VÄSTRA GÖTALANDS LÄN</t>
        </is>
      </c>
      <c r="E177" t="inlineStr">
        <is>
          <t>ORUST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38322-2023</t>
        </is>
      </c>
      <c r="B178" s="1" t="n">
        <v>45161.73658564815</v>
      </c>
      <c r="C178" s="1" t="n">
        <v>45998</v>
      </c>
      <c r="D178" t="inlineStr">
        <is>
          <t>VÄSTRA GÖTALANDS LÄN</t>
        </is>
      </c>
      <c r="E178" t="inlineStr">
        <is>
          <t>ORUST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57445-2024</t>
        </is>
      </c>
      <c r="B179" s="1" t="n">
        <v>45629.92240740741</v>
      </c>
      <c r="C179" s="1" t="n">
        <v>45998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14802-2023</t>
        </is>
      </c>
      <c r="B180" s="1" t="n">
        <v>45014</v>
      </c>
      <c r="C180" s="1" t="n">
        <v>45998</v>
      </c>
      <c r="D180" t="inlineStr">
        <is>
          <t>VÄSTRA GÖTALANDS LÄN</t>
        </is>
      </c>
      <c r="E180" t="inlineStr">
        <is>
          <t>ORUST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2025-12-07T10:28:30Z</dcterms:created>
  <dcterms:modified xmlns:dcterms="http://purl.org/dc/terms/" xmlns:xsi="http://www.w3.org/2001/XMLSchema-instance" xsi:type="dcterms:W3CDTF">2025-12-07T10:28:30Z</dcterms:modified>
</cp:coreProperties>
</file>