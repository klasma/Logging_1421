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46298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46298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46298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46298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46298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46298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46298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46298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46298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46298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46298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46298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46298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46298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46298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46298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41056-2025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46298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Grönpyrola</t>
        </is>
      </c>
      <c r="W20">
        <f>HYPERLINK("https://klasma.github.io/Logging_1421/artfynd/A 41056-2025 artfynd.xlsx", "A 41056-2025")</f>
        <v/>
      </c>
      <c r="X20">
        <f>HYPERLINK("https://klasma.github.io/Logging_1421/kartor/A 41056-2025 karta.png", "A 41056-2025")</f>
        <v/>
      </c>
      <c r="Y20">
        <f>HYPERLINK("https://klasma.github.io/Logging_1421/kartor_geotiff/A 41056-2025 georefererad karta.tif", "A 41056-2025")</f>
        <v/>
      </c>
      <c r="AA20">
        <f>HYPERLINK("https://klasma.github.io/Logging_1421/klagomål/A 41056-2025 FSC-klagomål.docx", "A 41056-2025")</f>
        <v/>
      </c>
      <c r="AB20">
        <f>HYPERLINK("https://klasma.github.io/Logging_1421/klagomålsmail/A 41056-2025 FSC-klagomål mail.docx", "A 41056-2025")</f>
        <v/>
      </c>
      <c r="AC20">
        <f>HYPERLINK("https://klasma.github.io/Logging_1421/tillsyn/A 41056-2025 tillsynsbegäran.docx", "A 41056-2025")</f>
        <v/>
      </c>
      <c r="AD20">
        <f>HYPERLINK("https://klasma.github.io/Logging_1421/tillsynsmail/A 41056-2025 tillsynsbegäran mail.docx", "A 41056-2025")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46298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46298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46298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46298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46298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46298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46298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46298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46298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46298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46298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46298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46298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46298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46298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46298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46298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46298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46298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46298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46298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46298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46298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46298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46298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46298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46298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45790</v>
      </c>
      <c r="E48" s="1" t="n">
        <v>46298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45742</v>
      </c>
      <c r="E49" s="1" t="n">
        <v>46298</v>
      </c>
      <c r="F49" t="inlineStr">
        <is>
          <t>VÄSTRA GÖTALANDS LÄN</t>
        </is>
      </c>
      <c r="G49" t="inlineStr">
        <is>
          <t>ORUST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45718</v>
      </c>
      <c r="E50" s="1" t="n">
        <v>46298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46298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46298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46298</v>
      </c>
      <c r="F53" t="inlineStr">
        <is>
          <t>VÄSTRA GÖTALANDS LÄN</t>
        </is>
      </c>
      <c r="G53" t="inlineStr">
        <is>
          <t>ORUST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46298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46298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46298</v>
      </c>
      <c r="F56" t="inlineStr">
        <is>
          <t>VÄSTRA GÖTALANDS LÄN</t>
        </is>
      </c>
      <c r="G56" t="inlineStr">
        <is>
          <t>ORUST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46036</v>
      </c>
      <c r="E57" s="1" t="n">
        <v>46298</v>
      </c>
      <c r="F57" t="inlineStr">
        <is>
          <t>VÄSTRA GÖTALANDS LÄN</t>
        </is>
      </c>
      <c r="G57" t="inlineStr">
        <is>
          <t>ORUST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46036</v>
      </c>
      <c r="E58" s="1" t="n">
        <v>46298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46298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46044</v>
      </c>
      <c r="E60" s="1" t="n">
        <v>46298</v>
      </c>
      <c r="F60" t="inlineStr">
        <is>
          <t>VÄSTRA GÖTALANDS LÄN</t>
        </is>
      </c>
      <c r="G60" t="inlineStr">
        <is>
          <t>ORUST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46298</v>
      </c>
      <c r="F61" t="inlineStr">
        <is>
          <t>VÄSTRA GÖTALANDS LÄN</t>
        </is>
      </c>
      <c r="G61" t="inlineStr">
        <is>
          <t>ORUST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45523</v>
      </c>
      <c r="E62" s="1" t="n">
        <v>46298</v>
      </c>
      <c r="F62" t="inlineStr">
        <is>
          <t>VÄSTRA GÖTALANDS LÄN</t>
        </is>
      </c>
      <c r="G62" t="inlineStr">
        <is>
          <t>ORUST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46298</v>
      </c>
      <c r="F63" t="inlineStr">
        <is>
          <t>VÄSTRA GÖTALANDS LÄN</t>
        </is>
      </c>
      <c r="G63" t="inlineStr">
        <is>
          <t>ORUST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45491</v>
      </c>
      <c r="E64" s="1" t="n">
        <v>46298</v>
      </c>
      <c r="F64" t="inlineStr">
        <is>
          <t>VÄSTRA GÖTALANDS LÄN</t>
        </is>
      </c>
      <c r="G64" t="inlineStr">
        <is>
          <t>ORUST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46298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46056</v>
      </c>
      <c r="E66" s="1" t="n">
        <v>46298</v>
      </c>
      <c r="F66" t="inlineStr">
        <is>
          <t>VÄSTRA GÖTALANDS LÄN</t>
        </is>
      </c>
      <c r="G66" t="inlineStr">
        <is>
          <t>ORUST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46298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46298</v>
      </c>
      <c r="F68" t="inlineStr">
        <is>
          <t>VÄSTRA GÖTALANDS LÄN</t>
        </is>
      </c>
      <c r="G68" t="inlineStr">
        <is>
          <t>ORUST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46298</v>
      </c>
      <c r="F69" t="inlineStr">
        <is>
          <t>VÄSTRA GÖTALANDS LÄN</t>
        </is>
      </c>
      <c r="G69" t="inlineStr">
        <is>
          <t>ORUST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46298</v>
      </c>
      <c r="F70" t="inlineStr">
        <is>
          <t>VÄSTRA GÖTALANDS LÄN</t>
        </is>
      </c>
      <c r="G70" t="inlineStr">
        <is>
          <t>ORUST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46298</v>
      </c>
      <c r="F71" t="inlineStr">
        <is>
          <t>VÄSTRA GÖTALANDS LÄN</t>
        </is>
      </c>
      <c r="G71" t="inlineStr">
        <is>
          <t>ORUST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49365-2025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46298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46075</v>
      </c>
      <c r="E73" s="1" t="n">
        <v>46298</v>
      </c>
      <c r="F73" t="inlineStr">
        <is>
          <t>VÄSTRA GÖTALANDS LÄN</t>
        </is>
      </c>
      <c r="G73" t="inlineStr">
        <is>
          <t>ORUST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45573</v>
      </c>
      <c r="E74" s="1" t="n">
        <v>46298</v>
      </c>
      <c r="F74" t="inlineStr">
        <is>
          <t>VÄSTRA GÖTALANDS LÄN</t>
        </is>
      </c>
      <c r="G74" t="inlineStr">
        <is>
          <t>ORUST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71890-2021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46298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46298</v>
      </c>
      <c r="F76" t="inlineStr">
        <is>
          <t>VÄSTRA GÖTALANDS LÄN</t>
        </is>
      </c>
      <c r="G76" t="inlineStr">
        <is>
          <t>ORUST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46298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46298</v>
      </c>
      <c r="F78" t="inlineStr">
        <is>
          <t>VÄSTRA GÖTALANDS LÄN</t>
        </is>
      </c>
      <c r="G78" t="inlineStr">
        <is>
          <t>ORUST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46298</v>
      </c>
      <c r="F79" t="inlineStr">
        <is>
          <t>VÄSTRA GÖTALANDS LÄN</t>
        </is>
      </c>
      <c r="G79" t="inlineStr">
        <is>
          <t>ORUST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46298</v>
      </c>
      <c r="F80" t="inlineStr">
        <is>
          <t>VÄSTRA GÖTALANDS LÄN</t>
        </is>
      </c>
      <c r="G80" t="inlineStr">
        <is>
          <t>ORUST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45467</v>
      </c>
      <c r="E81" s="1" t="n">
        <v>46298</v>
      </c>
      <c r="F81" t="inlineStr">
        <is>
          <t>VÄSTRA GÖTALANDS LÄN</t>
        </is>
      </c>
      <c r="G81" t="inlineStr">
        <is>
          <t>ORUST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46298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46298</v>
      </c>
      <c r="F83" t="inlineStr">
        <is>
          <t>VÄSTRA GÖTALANDS LÄN</t>
        </is>
      </c>
      <c r="G83" t="inlineStr">
        <is>
          <t>ORUST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46298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46298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46298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46298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46298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46298</v>
      </c>
      <c r="F89" t="inlineStr">
        <is>
          <t>VÄSTRA GÖTALANDS LÄN</t>
        </is>
      </c>
      <c r="G89" t="inlineStr">
        <is>
          <t>ORUST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46298</v>
      </c>
      <c r="F90" t="inlineStr">
        <is>
          <t>VÄSTRA GÖTALANDS LÄN</t>
        </is>
      </c>
      <c r="G90" t="inlineStr">
        <is>
          <t>ORUST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46298</v>
      </c>
      <c r="F91" t="inlineStr">
        <is>
          <t>VÄSTRA GÖTALANDS LÄN</t>
        </is>
      </c>
      <c r="G91" t="inlineStr">
        <is>
          <t>ORUST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46298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46298</v>
      </c>
      <c r="F93" t="inlineStr">
        <is>
          <t>VÄSTRA GÖTALANDS LÄN</t>
        </is>
      </c>
      <c r="G93" t="inlineStr">
        <is>
          <t>ORUST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46298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46298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46298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46298</v>
      </c>
      <c r="F97" t="inlineStr">
        <is>
          <t>VÄSTRA GÖTALANDS LÄN</t>
        </is>
      </c>
      <c r="G97" t="inlineStr">
        <is>
          <t>ORUST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46298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45847</v>
      </c>
      <c r="E99" s="1" t="n">
        <v>46298</v>
      </c>
      <c r="F99" t="inlineStr">
        <is>
          <t>VÄSTRA GÖTALANDS LÄN</t>
        </is>
      </c>
      <c r="G99" t="inlineStr">
        <is>
          <t>ORUST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46298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46298</v>
      </c>
      <c r="F101" t="inlineStr">
        <is>
          <t>VÄSTRA GÖTALANDS LÄN</t>
        </is>
      </c>
      <c r="G101" t="inlineStr">
        <is>
          <t>ORUST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46298</v>
      </c>
      <c r="F102" t="inlineStr">
        <is>
          <t>VÄSTRA GÖTALANDS LÄN</t>
        </is>
      </c>
      <c r="G102" t="inlineStr">
        <is>
          <t>ORUST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46298</v>
      </c>
      <c r="F103" t="inlineStr">
        <is>
          <t>VÄSTRA GÖTALANDS LÄN</t>
        </is>
      </c>
      <c r="G103" t="inlineStr">
        <is>
          <t>ORUST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56496-2021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46298</v>
      </c>
      <c r="F104" t="inlineStr">
        <is>
          <t>VÄSTRA GÖTALANDS LÄN</t>
        </is>
      </c>
      <c r="G104" t="inlineStr">
        <is>
          <t>ORUST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46298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68727-2021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46298</v>
      </c>
      <c r="F106" t="inlineStr">
        <is>
          <t>VÄSTRA GÖTALANDS LÄN</t>
        </is>
      </c>
      <c r="G106" t="inlineStr">
        <is>
          <t>ORUST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45641</v>
      </c>
      <c r="E107" s="1" t="n">
        <v>46298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46298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46298</v>
      </c>
      <c r="F109" t="inlineStr">
        <is>
          <t>VÄSTRA GÖTALANDS LÄN</t>
        </is>
      </c>
      <c r="G109" t="inlineStr">
        <is>
          <t>ORUST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46298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45872</v>
      </c>
      <c r="E111" s="1" t="n">
        <v>46298</v>
      </c>
      <c r="F111" t="inlineStr">
        <is>
          <t>VÄSTRA GÖTALANDS LÄN</t>
        </is>
      </c>
      <c r="G111" t="inlineStr">
        <is>
          <t>ORUST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46298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46298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46298</v>
      </c>
      <c r="F114" t="inlineStr">
        <is>
          <t>VÄSTRA GÖTALANDS LÄN</t>
        </is>
      </c>
      <c r="G114" t="inlineStr">
        <is>
          <t>ORUST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46298</v>
      </c>
      <c r="F115" t="inlineStr">
        <is>
          <t>VÄSTRA GÖTALANDS LÄN</t>
        </is>
      </c>
      <c r="G115" t="inlineStr">
        <is>
          <t>ORUST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45535</v>
      </c>
      <c r="E116" s="1" t="n">
        <v>46298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46298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46298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46298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46298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46298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46298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46298</v>
      </c>
      <c r="F123" t="inlineStr">
        <is>
          <t>VÄSTRA GÖTALANDS LÄN</t>
        </is>
      </c>
      <c r="G123" t="inlineStr">
        <is>
          <t>ORUST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46298</v>
      </c>
      <c r="F124" t="inlineStr">
        <is>
          <t>VÄSTRA GÖTALANDS LÄN</t>
        </is>
      </c>
      <c r="G124" t="inlineStr">
        <is>
          <t>ORUST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45667</v>
      </c>
      <c r="E125" s="1" t="n">
        <v>46298</v>
      </c>
      <c r="F125" t="inlineStr">
        <is>
          <t>VÄSTRA GÖTALANDS LÄN</t>
        </is>
      </c>
      <c r="G125" t="inlineStr">
        <is>
          <t>ORUST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46298</v>
      </c>
      <c r="F126" t="inlineStr">
        <is>
          <t>VÄSTRA GÖTALANDS LÄN</t>
        </is>
      </c>
      <c r="G126" t="inlineStr">
        <is>
          <t>ORUST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46298</v>
      </c>
      <c r="F127" t="inlineStr">
        <is>
          <t>VÄSTRA GÖTALANDS LÄN</t>
        </is>
      </c>
      <c r="G127" t="inlineStr">
        <is>
          <t>ORUST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46298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46298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46298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46298</v>
      </c>
      <c r="F131" t="inlineStr">
        <is>
          <t>VÄSTRA GÖTALANDS LÄN</t>
        </is>
      </c>
      <c r="G131" t="inlineStr">
        <is>
          <t>ORUST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46298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36428-2026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46298</v>
      </c>
      <c r="F133" t="inlineStr">
        <is>
          <t>VÄSTRA GÖTALANDS LÄN</t>
        </is>
      </c>
      <c r="G133" t="inlineStr">
        <is>
          <t>ORUST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46298</v>
      </c>
      <c r="F134" t="inlineStr">
        <is>
          <t>VÄSTRA GÖTALANDS LÄN</t>
        </is>
      </c>
      <c r="G134" t="inlineStr">
        <is>
          <t>ORUST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46280</v>
      </c>
      <c r="E135" s="1" t="n">
        <v>46298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46298</v>
      </c>
      <c r="F136" t="inlineStr">
        <is>
          <t>VÄSTRA GÖTALANDS LÄN</t>
        </is>
      </c>
      <c r="G136" t="inlineStr">
        <is>
          <t>ORUST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46298</v>
      </c>
      <c r="F137" t="inlineStr">
        <is>
          <t>VÄSTRA GÖTALANDS LÄN</t>
        </is>
      </c>
      <c r="G137" t="inlineStr">
        <is>
          <t>ORUST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46298</v>
      </c>
      <c r="F138" t="inlineStr">
        <is>
          <t>VÄSTRA GÖTALANDS LÄN</t>
        </is>
      </c>
      <c r="G138" t="inlineStr">
        <is>
          <t>ORUST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45523</v>
      </c>
      <c r="E139" s="1" t="n">
        <v>46298</v>
      </c>
      <c r="F139" t="inlineStr">
        <is>
          <t>VÄSTRA GÖTALANDS LÄN</t>
        </is>
      </c>
      <c r="G139" t="inlineStr">
        <is>
          <t>ORUST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46298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46298</v>
      </c>
      <c r="F141" t="inlineStr">
        <is>
          <t>VÄSTRA GÖTALANDS LÄN</t>
        </is>
      </c>
      <c r="G141" t="inlineStr">
        <is>
          <t>ORUST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45044</v>
      </c>
      <c r="E142" s="1" t="n">
        <v>46298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46298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46298</v>
      </c>
      <c r="F144" t="inlineStr">
        <is>
          <t>VÄSTRA GÖTALANDS LÄN</t>
        </is>
      </c>
      <c r="G144" t="inlineStr">
        <is>
          <t>ORUST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45511</v>
      </c>
      <c r="E145" s="1" t="n">
        <v>46298</v>
      </c>
      <c r="F145" t="inlineStr">
        <is>
          <t>VÄSTRA GÖTALANDS LÄN</t>
        </is>
      </c>
      <c r="G145" t="inlineStr">
        <is>
          <t>ORUST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46298</v>
      </c>
      <c r="F146" t="inlineStr">
        <is>
          <t>VÄSTRA GÖTALANDS LÄN</t>
        </is>
      </c>
      <c r="G146" t="inlineStr">
        <is>
          <t>ORUST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46298</v>
      </c>
      <c r="F147" t="inlineStr">
        <is>
          <t>VÄSTRA GÖTALANDS LÄN</t>
        </is>
      </c>
      <c r="G147" t="inlineStr">
        <is>
          <t>ORUST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44919</v>
      </c>
      <c r="E148" s="1" t="n">
        <v>46298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46298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46298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46298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45130</v>
      </c>
      <c r="E152" s="1" t="n">
        <v>46298</v>
      </c>
      <c r="F152" t="inlineStr">
        <is>
          <t>VÄSTRA GÖTALANDS LÄN</t>
        </is>
      </c>
      <c r="G152" t="inlineStr">
        <is>
          <t>ORUST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46298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2026-10-03T01:59:56Z</dcterms:created>
  <dcterms:modified xmlns:dcterms="http://purl.org/dc/terms/" xmlns:xsi="http://www.w3.org/2001/XMLSchema-instance" xsi:type="dcterms:W3CDTF">2026-10-03T01:59:56Z</dcterms:modified>
</cp:coreProperties>
</file>