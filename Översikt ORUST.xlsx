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46061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46061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46061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46061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46061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46061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46061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58944-2025</t>
        </is>
      </c>
      <c r="B16" s="1" t="n">
        <v>45987</v>
      </c>
      <c r="C16" s="1" t="n">
        <v>46061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46061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46061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46061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46061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46061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46061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46061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46061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46061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46061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46061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46061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46061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46061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46061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46061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46061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46061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46061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46061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46061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46061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46061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63419-2023</t>
        </is>
      </c>
      <c r="B57" s="1" t="n">
        <v>45274</v>
      </c>
      <c r="C57" s="1" t="n">
        <v>46061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43752-2023</t>
        </is>
      </c>
      <c r="B58" s="1" t="n">
        <v>45187</v>
      </c>
      <c r="C58" s="1" t="n">
        <v>46061</v>
      </c>
      <c r="D58" t="inlineStr">
        <is>
          <t>VÄSTRA GÖTALANDS LÄN</t>
        </is>
      </c>
      <c r="E58" t="inlineStr">
        <is>
          <t>ORUST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30440-2024</t>
        </is>
      </c>
      <c r="B59" s="1" t="n">
        <v>45491.81488425926</v>
      </c>
      <c r="C59" s="1" t="n">
        <v>46061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46061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44754-2024</t>
        </is>
      </c>
      <c r="B61" s="1" t="n">
        <v>45574.61065972222</v>
      </c>
      <c r="C61" s="1" t="n">
        <v>46061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46061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44417-2024</t>
        </is>
      </c>
      <c r="B63" s="1" t="n">
        <v>45573.8249537037</v>
      </c>
      <c r="C63" s="1" t="n">
        <v>46061</v>
      </c>
      <c r="D63" t="inlineStr">
        <is>
          <t>VÄSTRA GÖTALANDS LÄN</t>
        </is>
      </c>
      <c r="E63" t="inlineStr">
        <is>
          <t>ORUST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46061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49115-2024</t>
        </is>
      </c>
      <c r="B65" s="1" t="n">
        <v>45594.65954861111</v>
      </c>
      <c r="C65" s="1" t="n">
        <v>46061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27277-2025</t>
        </is>
      </c>
      <c r="B66" s="1" t="n">
        <v>45812.52674768519</v>
      </c>
      <c r="C66" s="1" t="n">
        <v>46061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27555-2025</t>
        </is>
      </c>
      <c r="B67" s="1" t="n">
        <v>45813.47424768518</v>
      </c>
      <c r="C67" s="1" t="n">
        <v>46061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46061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46061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46061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46061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46061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46061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46061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46061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46061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41688-2025</t>
        </is>
      </c>
      <c r="B77" s="1" t="n">
        <v>45902.39888888889</v>
      </c>
      <c r="C77" s="1" t="n">
        <v>46061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71890-2021</t>
        </is>
      </c>
      <c r="B78" s="1" t="n">
        <v>44543.78116898148</v>
      </c>
      <c r="C78" s="1" t="n">
        <v>46061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42457-2025</t>
        </is>
      </c>
      <c r="B79" s="1" t="n">
        <v>45905.45289351852</v>
      </c>
      <c r="C79" s="1" t="n">
        <v>46061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46061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51993-2022</t>
        </is>
      </c>
      <c r="B81" s="1" t="n">
        <v>44872</v>
      </c>
      <c r="C81" s="1" t="n">
        <v>46061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40270-2024</t>
        </is>
      </c>
      <c r="B82" s="1" t="n">
        <v>45554.64315972223</v>
      </c>
      <c r="C82" s="1" t="n">
        <v>46061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40270-2024 karta knärot.png", "A 40270-2024")</f>
        <v/>
      </c>
      <c r="V82">
        <f>HYPERLINK("https://klasma.github.io/Logging_1421/klagomål/A 40270-2024 FSC-klagomål.docx", "A 40270-2024")</f>
        <v/>
      </c>
      <c r="W82">
        <f>HYPERLINK("https://klasma.github.io/Logging_1421/klagomålsmail/A 40270-2024 FSC-klagomål mail.docx", "A 40270-2024")</f>
        <v/>
      </c>
      <c r="X82">
        <f>HYPERLINK("https://klasma.github.io/Logging_1421/tillsyn/A 40270-2024 tillsynsbegäran.docx", "A 40270-2024")</f>
        <v/>
      </c>
      <c r="Y82">
        <f>HYPERLINK("https://klasma.github.io/Logging_1421/tillsynsmail/A 40270-2024 tillsynsbegäran mail.docx", "A 40270-2024")</f>
        <v/>
      </c>
    </row>
    <row r="83" ht="15" customHeight="1">
      <c r="A83" t="inlineStr">
        <is>
          <t>A 13378-2023</t>
        </is>
      </c>
      <c r="B83" s="1" t="n">
        <v>45005.50077546296</v>
      </c>
      <c r="C83" s="1" t="n">
        <v>46061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25925-2024</t>
        </is>
      </c>
      <c r="B84" s="1" t="n">
        <v>45467.6122337963</v>
      </c>
      <c r="C84" s="1" t="n">
        <v>46061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46061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46061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46061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46061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46061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46061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33300-2025</t>
        </is>
      </c>
      <c r="B91" s="1" t="n">
        <v>45840.93423611111</v>
      </c>
      <c r="C91" s="1" t="n">
        <v>46061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46121-2025</t>
        </is>
      </c>
      <c r="B92" s="1" t="n">
        <v>45924</v>
      </c>
      <c r="C92" s="1" t="n">
        <v>46061</v>
      </c>
      <c r="D92" t="inlineStr">
        <is>
          <t>VÄSTRA GÖTALANDS LÄN</t>
        </is>
      </c>
      <c r="E92" t="inlineStr">
        <is>
          <t>ORUST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46061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48419-2025</t>
        </is>
      </c>
      <c r="B94" s="1" t="n">
        <v>45934.58502314815</v>
      </c>
      <c r="C94" s="1" t="n">
        <v>46061</v>
      </c>
      <c r="D94" t="inlineStr">
        <is>
          <t>VÄSTRA GÖTALANDS LÄN</t>
        </is>
      </c>
      <c r="E94" t="inlineStr">
        <is>
          <t>ORUST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46119-2025</t>
        </is>
      </c>
      <c r="B95" s="1" t="n">
        <v>45924</v>
      </c>
      <c r="C95" s="1" t="n">
        <v>46061</v>
      </c>
      <c r="D95" t="inlineStr">
        <is>
          <t>VÄSTRA GÖTALANDS LÄN</t>
        </is>
      </c>
      <c r="E95" t="inlineStr">
        <is>
          <t>ORUST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49072-2025</t>
        </is>
      </c>
      <c r="B96" s="1" t="n">
        <v>45937.65501157408</v>
      </c>
      <c r="C96" s="1" t="n">
        <v>46061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46061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33296-2025</t>
        </is>
      </c>
      <c r="B98" s="1" t="n">
        <v>45840.92538194444</v>
      </c>
      <c r="C98" s="1" t="n">
        <v>46061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46061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49365-2025</t>
        </is>
      </c>
      <c r="B100" s="1" t="n">
        <v>45938.62341435185</v>
      </c>
      <c r="C100" s="1" t="n">
        <v>46061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5926-2024</t>
        </is>
      </c>
      <c r="B101" s="1" t="n">
        <v>45336</v>
      </c>
      <c r="C101" s="1" t="n">
        <v>46061</v>
      </c>
      <c r="D101" t="inlineStr">
        <is>
          <t>VÄSTRA GÖTALANDS LÄN</t>
        </is>
      </c>
      <c r="E101" t="inlineStr">
        <is>
          <t>ORUST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6986-2024</t>
        </is>
      </c>
      <c r="B102" s="1" t="n">
        <v>45343.48984953704</v>
      </c>
      <c r="C102" s="1" t="n">
        <v>46061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34502-2025</t>
        </is>
      </c>
      <c r="B103" s="1" t="n">
        <v>45847.43163194445</v>
      </c>
      <c r="C103" s="1" t="n">
        <v>46061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34500-2025</t>
        </is>
      </c>
      <c r="B104" s="1" t="n">
        <v>45847.43075231482</v>
      </c>
      <c r="C104" s="1" t="n">
        <v>46061</v>
      </c>
      <c r="D104" t="inlineStr">
        <is>
          <t>VÄSTRA GÖTALANDS LÄN</t>
        </is>
      </c>
      <c r="E104" t="inlineStr">
        <is>
          <t>ORUST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20089-2025</t>
        </is>
      </c>
      <c r="B105" s="1" t="n">
        <v>45771</v>
      </c>
      <c r="C105" s="1" t="n">
        <v>46061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61302-2024</t>
        </is>
      </c>
      <c r="B106" s="1" t="n">
        <v>45645.90855324074</v>
      </c>
      <c r="C106" s="1" t="n">
        <v>46061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36722-2025</t>
        </is>
      </c>
      <c r="B107" s="1" t="n">
        <v>45872</v>
      </c>
      <c r="C107" s="1" t="n">
        <v>46061</v>
      </c>
      <c r="D107" t="inlineStr">
        <is>
          <t>VÄSTRA GÖTALANDS LÄN</t>
        </is>
      </c>
      <c r="E107" t="inlineStr">
        <is>
          <t>ORUST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36695-2025</t>
        </is>
      </c>
      <c r="B108" s="1" t="n">
        <v>45872</v>
      </c>
      <c r="C108" s="1" t="n">
        <v>46061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5714-2024</t>
        </is>
      </c>
      <c r="B109" s="1" t="n">
        <v>45334.87804398148</v>
      </c>
      <c r="C109" s="1" t="n">
        <v>46061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46061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34380-2022</t>
        </is>
      </c>
      <c r="B111" s="1" t="n">
        <v>44792</v>
      </c>
      <c r="C111" s="1" t="n">
        <v>46061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46061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13377-2023</t>
        </is>
      </c>
      <c r="B113" s="1" t="n">
        <v>45005.49668981481</v>
      </c>
      <c r="C113" s="1" t="n">
        <v>46061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37130-2024</t>
        </is>
      </c>
      <c r="B114" s="1" t="n">
        <v>45539.57060185185</v>
      </c>
      <c r="C114" s="1" t="n">
        <v>46061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46061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59915-2024</t>
        </is>
      </c>
      <c r="B116" s="1" t="n">
        <v>45641.74975694445</v>
      </c>
      <c r="C116" s="1" t="n">
        <v>46061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5152-2025</t>
        </is>
      </c>
      <c r="B117" s="1" t="n">
        <v>45691.6000462963</v>
      </c>
      <c r="C117" s="1" t="n">
        <v>46061</v>
      </c>
      <c r="D117" t="inlineStr">
        <is>
          <t>VÄSTRA GÖTALANDS LÄN</t>
        </is>
      </c>
      <c r="E117" t="inlineStr">
        <is>
          <t>ORUST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46061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42712-2023</t>
        </is>
      </c>
      <c r="B119" s="1" t="n">
        <v>45181.61869212963</v>
      </c>
      <c r="C119" s="1" t="n">
        <v>46061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56654-2025</t>
        </is>
      </c>
      <c r="B120" s="1" t="n">
        <v>45975.64869212963</v>
      </c>
      <c r="C120" s="1" t="n">
        <v>46061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50562-2024</t>
        </is>
      </c>
      <c r="B121" s="1" t="n">
        <v>45601.59825231481</v>
      </c>
      <c r="C121" s="1" t="n">
        <v>46061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20131-2025</t>
        </is>
      </c>
      <c r="B122" s="1" t="n">
        <v>45772.50918981482</v>
      </c>
      <c r="C122" s="1" t="n">
        <v>46061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5454-2025</t>
        </is>
      </c>
      <c r="B123" s="1" t="n">
        <v>45692.98011574074</v>
      </c>
      <c r="C123" s="1" t="n">
        <v>46061</v>
      </c>
      <c r="D123" t="inlineStr">
        <is>
          <t>VÄSTRA GÖTALANDS LÄN</t>
        </is>
      </c>
      <c r="E123" t="inlineStr">
        <is>
          <t>ORUST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2213-2025</t>
        </is>
      </c>
      <c r="B124" s="1" t="n">
        <v>45673.4359837963</v>
      </c>
      <c r="C124" s="1" t="n">
        <v>46061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58853-2025</t>
        </is>
      </c>
      <c r="B125" s="1" t="n">
        <v>45987.40476851852</v>
      </c>
      <c r="C125" s="1" t="n">
        <v>46061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58852-2025</t>
        </is>
      </c>
      <c r="B126" s="1" t="n">
        <v>45987.40355324074</v>
      </c>
      <c r="C126" s="1" t="n">
        <v>46061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40722-2024</t>
        </is>
      </c>
      <c r="B127" s="1" t="n">
        <v>45558.44460648148</v>
      </c>
      <c r="C127" s="1" t="n">
        <v>46061</v>
      </c>
      <c r="D127" t="inlineStr">
        <is>
          <t>VÄSTRA GÖTALANDS LÄN</t>
        </is>
      </c>
      <c r="E127" t="inlineStr">
        <is>
          <t>ORUST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46061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59834-2025</t>
        </is>
      </c>
      <c r="B129" s="1" t="n">
        <v>45992.66811342593</v>
      </c>
      <c r="C129" s="1" t="n">
        <v>46061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46061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46061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2435-2026</t>
        </is>
      </c>
      <c r="B132" s="1" t="n">
        <v>46036.90065972223</v>
      </c>
      <c r="C132" s="1" t="n">
        <v>46061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49822-2022</t>
        </is>
      </c>
      <c r="B133" s="1" t="n">
        <v>44862</v>
      </c>
      <c r="C133" s="1" t="n">
        <v>46061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61319-2025</t>
        </is>
      </c>
      <c r="B134" s="1" t="n">
        <v>46000.94983796297</v>
      </c>
      <c r="C134" s="1" t="n">
        <v>46061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61320-2025</t>
        </is>
      </c>
      <c r="B135" s="1" t="n">
        <v>46000.95591435185</v>
      </c>
      <c r="C135" s="1" t="n">
        <v>46061</v>
      </c>
      <c r="D135" t="inlineStr">
        <is>
          <t>VÄSTRA GÖTALANDS LÄN</t>
        </is>
      </c>
      <c r="E135" t="inlineStr">
        <is>
          <t>ORUST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4114-2026</t>
        </is>
      </c>
      <c r="B136" s="1" t="n">
        <v>46044.60348379629</v>
      </c>
      <c r="C136" s="1" t="n">
        <v>46061</v>
      </c>
      <c r="D136" t="inlineStr">
        <is>
          <t>VÄSTRA GÖTALANDS LÄN</t>
        </is>
      </c>
      <c r="E136" t="inlineStr">
        <is>
          <t>ORUST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46061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40743-2024</t>
        </is>
      </c>
      <c r="B138" s="1" t="n">
        <v>45558.45</v>
      </c>
      <c r="C138" s="1" t="n">
        <v>46061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46061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771-2023</t>
        </is>
      </c>
      <c r="B140" s="1" t="n">
        <v>44931</v>
      </c>
      <c r="C140" s="1" t="n">
        <v>46061</v>
      </c>
      <c r="D140" t="inlineStr">
        <is>
          <t>VÄSTRA GÖTALANDS LÄN</t>
        </is>
      </c>
      <c r="E140" t="inlineStr">
        <is>
          <t>ORUST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6739-2026</t>
        </is>
      </c>
      <c r="B141" s="1" t="n">
        <v>46056.69936342593</v>
      </c>
      <c r="C141" s="1" t="n">
        <v>46061</v>
      </c>
      <c r="D141" t="inlineStr">
        <is>
          <t>VÄSTRA GÖTALANDS LÄN</t>
        </is>
      </c>
      <c r="E141" t="inlineStr">
        <is>
          <t>ORUST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46061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11356-2025</t>
        </is>
      </c>
      <c r="B143" s="1" t="n">
        <v>45726.52880787037</v>
      </c>
      <c r="C143" s="1" t="n">
        <v>46061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46061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46061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6485-2024</t>
        </is>
      </c>
      <c r="B146" s="1" t="n">
        <v>45339.40619212963</v>
      </c>
      <c r="C146" s="1" t="n">
        <v>46061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45088-2021</t>
        </is>
      </c>
      <c r="B147" s="1" t="n">
        <v>44439.391875</v>
      </c>
      <c r="C147" s="1" t="n">
        <v>46061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49617-2023</t>
        </is>
      </c>
      <c r="B148" s="1" t="n">
        <v>45211</v>
      </c>
      <c r="C148" s="1" t="n">
        <v>46061</v>
      </c>
      <c r="D148" t="inlineStr">
        <is>
          <t>VÄSTRA GÖTALANDS LÄN</t>
        </is>
      </c>
      <c r="E148" t="inlineStr">
        <is>
          <t>ORUST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23682-2024</t>
        </is>
      </c>
      <c r="B149" s="1" t="n">
        <v>45454.62754629629</v>
      </c>
      <c r="C149" s="1" t="n">
        <v>46061</v>
      </c>
      <c r="D149" t="inlineStr">
        <is>
          <t>VÄSTRA GÖTALANDS LÄN</t>
        </is>
      </c>
      <c r="E149" t="inlineStr">
        <is>
          <t>ORUST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39206-2024</t>
        </is>
      </c>
      <c r="B150" s="1" t="n">
        <v>45548.81200231481</v>
      </c>
      <c r="C150" s="1" t="n">
        <v>46061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46061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5617-2024</t>
        </is>
      </c>
      <c r="B152" s="1" t="n">
        <v>45334.58319444444</v>
      </c>
      <c r="C152" s="1" t="n">
        <v>46061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5617-2024 karta knärot.png", "A 5617-2024")</f>
        <v/>
      </c>
      <c r="V152">
        <f>HYPERLINK("https://klasma.github.io/Logging_1421/klagomål/A 5617-2024 FSC-klagomål.docx", "A 5617-2024")</f>
        <v/>
      </c>
      <c r="W152">
        <f>HYPERLINK("https://klasma.github.io/Logging_1421/klagomålsmail/A 5617-2024 FSC-klagomål mail.docx", "A 5617-2024")</f>
        <v/>
      </c>
      <c r="X152">
        <f>HYPERLINK("https://klasma.github.io/Logging_1421/tillsyn/A 5617-2024 tillsynsbegäran.docx", "A 5617-2024")</f>
        <v/>
      </c>
      <c r="Y152">
        <f>HYPERLINK("https://klasma.github.io/Logging_1421/tillsynsmail/A 5617-2024 tillsynsbegäran mail.docx", "A 5617-2024")</f>
        <v/>
      </c>
    </row>
    <row r="153" ht="15" customHeight="1">
      <c r="A153" t="inlineStr">
        <is>
          <t>A 34056-2024</t>
        </is>
      </c>
      <c r="B153" s="1" t="n">
        <v>45523.6125</v>
      </c>
      <c r="C153" s="1" t="n">
        <v>46061</v>
      </c>
      <c r="D153" t="inlineStr">
        <is>
          <t>VÄSTRA GÖTALANDS LÄN</t>
        </is>
      </c>
      <c r="E153" t="inlineStr">
        <is>
          <t>ORUST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6613-2021</t>
        </is>
      </c>
      <c r="B154" s="1" t="n">
        <v>44236</v>
      </c>
      <c r="C154" s="1" t="n">
        <v>46061</v>
      </c>
      <c r="D154" t="inlineStr">
        <is>
          <t>VÄSTRA GÖTALANDS LÄN</t>
        </is>
      </c>
      <c r="E154" t="inlineStr">
        <is>
          <t>ORUST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46061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46061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23046-2024</t>
        </is>
      </c>
      <c r="B157" s="1" t="n">
        <v>45450.4240625</v>
      </c>
      <c r="C157" s="1" t="n">
        <v>46061</v>
      </c>
      <c r="D157" t="inlineStr">
        <is>
          <t>VÄSTRA GÖTALANDS LÄN</t>
        </is>
      </c>
      <c r="E157" t="inlineStr">
        <is>
          <t>ORUST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44233-2023</t>
        </is>
      </c>
      <c r="B158" s="1" t="n">
        <v>45183</v>
      </c>
      <c r="C158" s="1" t="n">
        <v>46061</v>
      </c>
      <c r="D158" t="inlineStr">
        <is>
          <t>VÄSTRA GÖTALANDS LÄN</t>
        </is>
      </c>
      <c r="E158" t="inlineStr">
        <is>
          <t>ORUST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44233-2023 karta knärot.png", "A 44233-2023")</f>
        <v/>
      </c>
      <c r="V158">
        <f>HYPERLINK("https://klasma.github.io/Logging_1421/klagomål/A 44233-2023 FSC-klagomål.docx", "A 44233-2023")</f>
        <v/>
      </c>
      <c r="W158">
        <f>HYPERLINK("https://klasma.github.io/Logging_1421/klagomålsmail/A 44233-2023 FSC-klagomål mail.docx", "A 44233-2023")</f>
        <v/>
      </c>
      <c r="X158">
        <f>HYPERLINK("https://klasma.github.io/Logging_1421/tillsyn/A 44233-2023 tillsynsbegäran.docx", "A 44233-2023")</f>
        <v/>
      </c>
      <c r="Y158">
        <f>HYPERLINK("https://klasma.github.io/Logging_1421/tillsynsmail/A 44233-2023 tillsynsbegäran mail.docx", "A 44233-2023")</f>
        <v/>
      </c>
    </row>
    <row r="159" ht="15" customHeight="1">
      <c r="A159" t="inlineStr">
        <is>
          <t>A 14547-2022</t>
        </is>
      </c>
      <c r="B159" s="1" t="n">
        <v>44655</v>
      </c>
      <c r="C159" s="1" t="n">
        <v>46061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46061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28109-2024</t>
        </is>
      </c>
      <c r="B161" s="1" t="n">
        <v>45476.63284722222</v>
      </c>
      <c r="C161" s="1" t="n">
        <v>46061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63626-2023</t>
        </is>
      </c>
      <c r="B162" s="1" t="n">
        <v>45275</v>
      </c>
      <c r="C162" s="1" t="n">
        <v>46061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32175-2024</t>
        </is>
      </c>
      <c r="B163" s="1" t="n">
        <v>45511.61238425926</v>
      </c>
      <c r="C163" s="1" t="n">
        <v>46061</v>
      </c>
      <c r="D163" t="inlineStr">
        <is>
          <t>VÄSTRA GÖTALANDS LÄN</t>
        </is>
      </c>
      <c r="E163" t="inlineStr">
        <is>
          <t>ORUST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46061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46061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46061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62086-2022</t>
        </is>
      </c>
      <c r="B167" s="1" t="n">
        <v>44919.46138888889</v>
      </c>
      <c r="C167" s="1" t="n">
        <v>46061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46061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57878-2022</t>
        </is>
      </c>
      <c r="B169" s="1" t="n">
        <v>44899.875625</v>
      </c>
      <c r="C169" s="1" t="n">
        <v>46061</v>
      </c>
      <c r="D169" t="inlineStr">
        <is>
          <t>VÄSTRA GÖTALANDS LÄN</t>
        </is>
      </c>
      <c r="E169" t="inlineStr">
        <is>
          <t>ORUST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46061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46061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46061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46061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13243-2023</t>
        </is>
      </c>
      <c r="B174" s="1" t="n">
        <v>45002</v>
      </c>
      <c r="C174" s="1" t="n">
        <v>46061</v>
      </c>
      <c r="D174" t="inlineStr">
        <is>
          <t>VÄSTRA GÖTALANDS LÄN</t>
        </is>
      </c>
      <c r="E174" t="inlineStr">
        <is>
          <t>ORUST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22959-2025</t>
        </is>
      </c>
      <c r="B175" s="1" t="n">
        <v>45790</v>
      </c>
      <c r="C175" s="1" t="n">
        <v>46061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46061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23254-2025</t>
        </is>
      </c>
      <c r="B177" s="1" t="n">
        <v>45791.5340162037</v>
      </c>
      <c r="C177" s="1" t="n">
        <v>46061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46061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9937-2025</t>
        </is>
      </c>
      <c r="B179" s="1" t="n">
        <v>45718.64129629629</v>
      </c>
      <c r="C179" s="1" t="n">
        <v>46061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46061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13521-2025</t>
        </is>
      </c>
      <c r="B181" s="1" t="n">
        <v>45736.48755787037</v>
      </c>
      <c r="C181" s="1" t="n">
        <v>46061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13536-2025</t>
        </is>
      </c>
      <c r="B182" s="1" t="n">
        <v>45736.51413194444</v>
      </c>
      <c r="C182" s="1" t="n">
        <v>46061</v>
      </c>
      <c r="D182" t="inlineStr">
        <is>
          <t>VÄSTRA GÖTALANDS LÄN</t>
        </is>
      </c>
      <c r="E182" t="inlineStr">
        <is>
          <t>ORUST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24321-2025</t>
        </is>
      </c>
      <c r="B183" s="1" t="n">
        <v>45797</v>
      </c>
      <c r="C183" s="1" t="n">
        <v>46061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34046-2024</t>
        </is>
      </c>
      <c r="B184" s="1" t="n">
        <v>45523.60449074074</v>
      </c>
      <c r="C184" s="1" t="n">
        <v>46061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2026-02-08T11:02:17Z</dcterms:created>
  <dcterms:modified xmlns:dcterms="http://purl.org/dc/terms/" xmlns:xsi="http://www.w3.org/2001/XMLSchema-instance" xsi:type="dcterms:W3CDTF">2026-02-08T11:02:17Z</dcterms:modified>
</cp:coreProperties>
</file>