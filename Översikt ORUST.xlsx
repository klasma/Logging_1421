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45972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45972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45972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45972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45972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45972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45972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45972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45972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45972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45972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45972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45972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45972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45972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45972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45972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45972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45972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45972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45972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45972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45972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45972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45972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45972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45972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45972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45972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45972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45972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45972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47877-2021</t>
        </is>
      </c>
      <c r="B37" s="1" t="n">
        <v>44448</v>
      </c>
      <c r="C37" s="1" t="n">
        <v>45972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22255-2021</t>
        </is>
      </c>
      <c r="B38" s="1" t="n">
        <v>44326</v>
      </c>
      <c r="C38" s="1" t="n">
        <v>45972</v>
      </c>
      <c r="D38" t="inlineStr">
        <is>
          <t>VÄSTRA GÖTALANDS LÄN</t>
        </is>
      </c>
      <c r="E38" t="inlineStr">
        <is>
          <t>ORUST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45972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45972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69196-2021</t>
        </is>
      </c>
      <c r="B41" s="1" t="n">
        <v>44531.34472222222</v>
      </c>
      <c r="C41" s="1" t="n">
        <v>45972</v>
      </c>
      <c r="D41" t="inlineStr">
        <is>
          <t>VÄSTRA GÖTALANDS LÄN</t>
        </is>
      </c>
      <c r="E41" t="inlineStr">
        <is>
          <t>ORUST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45972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45972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45972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45972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45972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45972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33454-2023</t>
        </is>
      </c>
      <c r="B48" s="1" t="n">
        <v>45130</v>
      </c>
      <c r="C48" s="1" t="n">
        <v>45972</v>
      </c>
      <c r="D48" t="inlineStr">
        <is>
          <t>VÄSTRA GÖTALANDS LÄN</t>
        </is>
      </c>
      <c r="E48" t="inlineStr">
        <is>
          <t>ORUST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45729-2021</t>
        </is>
      </c>
      <c r="B49" s="1" t="n">
        <v>44441</v>
      </c>
      <c r="C49" s="1" t="n">
        <v>45972</v>
      </c>
      <c r="D49" t="inlineStr">
        <is>
          <t>VÄSTRA GÖTALANDS LÄN</t>
        </is>
      </c>
      <c r="E49" t="inlineStr">
        <is>
          <t>ORUST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2213-2025</t>
        </is>
      </c>
      <c r="B50" s="1" t="n">
        <v>45673.4359837963</v>
      </c>
      <c r="C50" s="1" t="n">
        <v>45972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38322-2023</t>
        </is>
      </c>
      <c r="B51" s="1" t="n">
        <v>45161.73658564815</v>
      </c>
      <c r="C51" s="1" t="n">
        <v>45972</v>
      </c>
      <c r="D51" t="inlineStr">
        <is>
          <t>VÄSTRA GÖTALANDS LÄN</t>
        </is>
      </c>
      <c r="E51" t="inlineStr">
        <is>
          <t>ORUST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45972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45972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20898-2021</t>
        </is>
      </c>
      <c r="B54" s="1" t="n">
        <v>44319.41962962963</v>
      </c>
      <c r="C54" s="1" t="n">
        <v>45972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57445-2024</t>
        </is>
      </c>
      <c r="B55" s="1" t="n">
        <v>45629.92240740741</v>
      </c>
      <c r="C55" s="1" t="n">
        <v>45972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25925-2024</t>
        </is>
      </c>
      <c r="B56" s="1" t="n">
        <v>45467.6122337963</v>
      </c>
      <c r="C56" s="1" t="n">
        <v>45972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37522-2024</t>
        </is>
      </c>
      <c r="B57" s="1" t="n">
        <v>45541</v>
      </c>
      <c r="C57" s="1" t="n">
        <v>45972</v>
      </c>
      <c r="D57" t="inlineStr">
        <is>
          <t>VÄSTRA GÖTALANDS LÄN</t>
        </is>
      </c>
      <c r="E57" t="inlineStr">
        <is>
          <t>ORUST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45972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45972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45972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34155-2024</t>
        </is>
      </c>
      <c r="B61" s="1" t="n">
        <v>45524.3860300926</v>
      </c>
      <c r="C61" s="1" t="n">
        <v>45972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45972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45972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47405-2025</t>
        </is>
      </c>
      <c r="B64" s="1" t="n">
        <v>45930.61258101852</v>
      </c>
      <c r="C64" s="1" t="n">
        <v>45972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45088-2021</t>
        </is>
      </c>
      <c r="B65" s="1" t="n">
        <v>44439.391875</v>
      </c>
      <c r="C65" s="1" t="n">
        <v>45972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18791-2023</t>
        </is>
      </c>
      <c r="B66" s="1" t="n">
        <v>45044</v>
      </c>
      <c r="C66" s="1" t="n">
        <v>45972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47404-2025</t>
        </is>
      </c>
      <c r="B67" s="1" t="n">
        <v>45930.61149305556</v>
      </c>
      <c r="C67" s="1" t="n">
        <v>45972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42712-2023</t>
        </is>
      </c>
      <c r="B68" s="1" t="n">
        <v>45181.61869212963</v>
      </c>
      <c r="C68" s="1" t="n">
        <v>45972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45972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22750-2024</t>
        </is>
      </c>
      <c r="B70" s="1" t="n">
        <v>45448.41990740741</v>
      </c>
      <c r="C70" s="1" t="n">
        <v>45972</v>
      </c>
      <c r="D70" t="inlineStr">
        <is>
          <t>VÄSTRA GÖTALANDS LÄN</t>
        </is>
      </c>
      <c r="E70" t="inlineStr">
        <is>
          <t>ORUST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28109-2024</t>
        </is>
      </c>
      <c r="B71" s="1" t="n">
        <v>45476.63284722222</v>
      </c>
      <c r="C71" s="1" t="n">
        <v>45972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14802-2023</t>
        </is>
      </c>
      <c r="B72" s="1" t="n">
        <v>45014</v>
      </c>
      <c r="C72" s="1" t="n">
        <v>45972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5714-2024</t>
        </is>
      </c>
      <c r="B73" s="1" t="n">
        <v>45334.87804398148</v>
      </c>
      <c r="C73" s="1" t="n">
        <v>45972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71890-2021</t>
        </is>
      </c>
      <c r="B74" s="1" t="n">
        <v>44543.78116898148</v>
      </c>
      <c r="C74" s="1" t="n">
        <v>45972</v>
      </c>
      <c r="D74" t="inlineStr">
        <is>
          <t>VÄSTRA GÖTALANDS LÄN</t>
        </is>
      </c>
      <c r="E74" t="inlineStr">
        <is>
          <t>ORUST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45972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49134-2021</t>
        </is>
      </c>
      <c r="B76" s="1" t="n">
        <v>44453</v>
      </c>
      <c r="C76" s="1" t="n">
        <v>45972</v>
      </c>
      <c r="D76" t="inlineStr">
        <is>
          <t>VÄSTRA GÖTALANDS LÄN</t>
        </is>
      </c>
      <c r="E76" t="inlineStr">
        <is>
          <t>ORUST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49822-2022</t>
        </is>
      </c>
      <c r="B77" s="1" t="n">
        <v>44862</v>
      </c>
      <c r="C77" s="1" t="n">
        <v>45972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57878-2022</t>
        </is>
      </c>
      <c r="B78" s="1" t="n">
        <v>44899.875625</v>
      </c>
      <c r="C78" s="1" t="n">
        <v>45972</v>
      </c>
      <c r="D78" t="inlineStr">
        <is>
          <t>VÄSTRA GÖTALANDS LÄN</t>
        </is>
      </c>
      <c r="E78" t="inlineStr">
        <is>
          <t>ORUST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45972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36404-2024</t>
        </is>
      </c>
      <c r="B80" s="1" t="n">
        <v>45535.70535879629</v>
      </c>
      <c r="C80" s="1" t="n">
        <v>45972</v>
      </c>
      <c r="D80" t="inlineStr">
        <is>
          <t>VÄSTRA GÖTALANDS LÄN</t>
        </is>
      </c>
      <c r="E80" t="inlineStr">
        <is>
          <t>ORUST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45972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45972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46708-2023</t>
        </is>
      </c>
      <c r="B83" s="1" t="n">
        <v>45198</v>
      </c>
      <c r="C83" s="1" t="n">
        <v>45972</v>
      </c>
      <c r="D83" t="inlineStr">
        <is>
          <t>VÄSTRA GÖTALANDS LÄN</t>
        </is>
      </c>
      <c r="E83" t="inlineStr">
        <is>
          <t>ORUST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40722-2024</t>
        </is>
      </c>
      <c r="B84" s="1" t="n">
        <v>45558.44460648148</v>
      </c>
      <c r="C84" s="1" t="n">
        <v>45972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62516-2022</t>
        </is>
      </c>
      <c r="B85" s="1" t="n">
        <v>44924.61912037037</v>
      </c>
      <c r="C85" s="1" t="n">
        <v>45972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62369-2023</t>
        </is>
      </c>
      <c r="B86" s="1" t="n">
        <v>45268.30483796296</v>
      </c>
      <c r="C86" s="1" t="n">
        <v>45972</v>
      </c>
      <c r="D86" t="inlineStr">
        <is>
          <t>VÄSTRA GÖTALANDS LÄN</t>
        </is>
      </c>
      <c r="E86" t="inlineStr">
        <is>
          <t>ORUST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45972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14547-2022</t>
        </is>
      </c>
      <c r="B88" s="1" t="n">
        <v>44655</v>
      </c>
      <c r="C88" s="1" t="n">
        <v>45972</v>
      </c>
      <c r="D88" t="inlineStr">
        <is>
          <t>VÄSTRA GÖTALANDS LÄN</t>
        </is>
      </c>
      <c r="E88" t="inlineStr">
        <is>
          <t>ORUST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40270-2024</t>
        </is>
      </c>
      <c r="B89" s="1" t="n">
        <v>45554.64315972223</v>
      </c>
      <c r="C89" s="1" t="n">
        <v>45972</v>
      </c>
      <c r="D89" t="inlineStr">
        <is>
          <t>VÄSTRA GÖTALANDS LÄN</t>
        </is>
      </c>
      <c r="E89" t="inlineStr">
        <is>
          <t>ORUST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HYPERLINK("https://klasma.github.io/Logging_1421/knärot/A 40270-2024 karta knärot.png", "A 40270-2024")</f>
        <v/>
      </c>
      <c r="V89">
        <f>HYPERLINK("https://klasma.github.io/Logging_1421/klagomål/A 40270-2024 FSC-klagomål.docx", "A 40270-2024")</f>
        <v/>
      </c>
      <c r="W89">
        <f>HYPERLINK("https://klasma.github.io/Logging_1421/klagomålsmail/A 40270-2024 FSC-klagomål mail.docx", "A 40270-2024")</f>
        <v/>
      </c>
      <c r="X89">
        <f>HYPERLINK("https://klasma.github.io/Logging_1421/tillsyn/A 40270-2024 tillsynsbegäran.docx", "A 40270-2024")</f>
        <v/>
      </c>
      <c r="Y89">
        <f>HYPERLINK("https://klasma.github.io/Logging_1421/tillsynsmail/A 40270-2024 tillsynsbegäran mail.docx", "A 40270-2024")</f>
        <v/>
      </c>
    </row>
    <row r="90" ht="15" customHeight="1">
      <c r="A90" t="inlineStr">
        <is>
          <t>A 47630-2025</t>
        </is>
      </c>
      <c r="B90" s="1" t="n">
        <v>45931.48855324074</v>
      </c>
      <c r="C90" s="1" t="n">
        <v>45972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40743-2024</t>
        </is>
      </c>
      <c r="B91" s="1" t="n">
        <v>45558.45</v>
      </c>
      <c r="C91" s="1" t="n">
        <v>45972</v>
      </c>
      <c r="D91" t="inlineStr">
        <is>
          <t>VÄSTRA GÖTALANDS LÄN</t>
        </is>
      </c>
      <c r="E91" t="inlineStr">
        <is>
          <t>ORUST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20089-2025</t>
        </is>
      </c>
      <c r="B92" s="1" t="n">
        <v>45771</v>
      </c>
      <c r="C92" s="1" t="n">
        <v>45972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45972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49617-2023</t>
        </is>
      </c>
      <c r="B94" s="1" t="n">
        <v>45211</v>
      </c>
      <c r="C94" s="1" t="n">
        <v>45972</v>
      </c>
      <c r="D94" t="inlineStr">
        <is>
          <t>VÄSTRA GÖTALANDS LÄN</t>
        </is>
      </c>
      <c r="E94" t="inlineStr">
        <is>
          <t>ORUST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11356-2025</t>
        </is>
      </c>
      <c r="B95" s="1" t="n">
        <v>45726.52880787037</v>
      </c>
      <c r="C95" s="1" t="n">
        <v>45972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45972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20131-2025</t>
        </is>
      </c>
      <c r="B97" s="1" t="n">
        <v>45772.50918981482</v>
      </c>
      <c r="C97" s="1" t="n">
        <v>45972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6485-2024</t>
        </is>
      </c>
      <c r="B98" s="1" t="n">
        <v>45339.40619212963</v>
      </c>
      <c r="C98" s="1" t="n">
        <v>45972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13377-2023</t>
        </is>
      </c>
      <c r="B99" s="1" t="n">
        <v>45005.49668981481</v>
      </c>
      <c r="C99" s="1" t="n">
        <v>45972</v>
      </c>
      <c r="D99" t="inlineStr">
        <is>
          <t>VÄSTRA GÖTALANDS LÄN</t>
        </is>
      </c>
      <c r="E99" t="inlineStr">
        <is>
          <t>ORUST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45972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61302-2024</t>
        </is>
      </c>
      <c r="B101" s="1" t="n">
        <v>45645.90855324074</v>
      </c>
      <c r="C101" s="1" t="n">
        <v>45972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50562-2024</t>
        </is>
      </c>
      <c r="B102" s="1" t="n">
        <v>45601.59825231481</v>
      </c>
      <c r="C102" s="1" t="n">
        <v>45972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36999-2023</t>
        </is>
      </c>
      <c r="B103" s="1" t="n">
        <v>45155.24585648148</v>
      </c>
      <c r="C103" s="1" t="n">
        <v>45972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62086-2022</t>
        </is>
      </c>
      <c r="B104" s="1" t="n">
        <v>44919.46138888889</v>
      </c>
      <c r="C104" s="1" t="n">
        <v>45972</v>
      </c>
      <c r="D104" t="inlineStr">
        <is>
          <t>VÄSTRA GÖTALANDS LÄN</t>
        </is>
      </c>
      <c r="E104" t="inlineStr">
        <is>
          <t>ORUST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45972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5152-2025</t>
        </is>
      </c>
      <c r="B106" s="1" t="n">
        <v>45691.6000462963</v>
      </c>
      <c r="C106" s="1" t="n">
        <v>45972</v>
      </c>
      <c r="D106" t="inlineStr">
        <is>
          <t>VÄSTRA GÖTALANDS LÄN</t>
        </is>
      </c>
      <c r="E106" t="inlineStr">
        <is>
          <t>ORUST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45972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40442-2025</t>
        </is>
      </c>
      <c r="B108" s="1" t="n">
        <v>45895</v>
      </c>
      <c r="C108" s="1" t="n">
        <v>45972</v>
      </c>
      <c r="D108" t="inlineStr">
        <is>
          <t>VÄSTRA GÖTALANDS LÄN</t>
        </is>
      </c>
      <c r="E108" t="inlineStr">
        <is>
          <t>ORUST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46121-2025</t>
        </is>
      </c>
      <c r="B109" s="1" t="n">
        <v>45924</v>
      </c>
      <c r="C109" s="1" t="n">
        <v>45972</v>
      </c>
      <c r="D109" t="inlineStr">
        <is>
          <t>VÄSTRA GÖTALANDS LÄN</t>
        </is>
      </c>
      <c r="E109" t="inlineStr">
        <is>
          <t>ORUST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6613-2021</t>
        </is>
      </c>
      <c r="B110" s="1" t="n">
        <v>44236</v>
      </c>
      <c r="C110" s="1" t="n">
        <v>45972</v>
      </c>
      <c r="D110" t="inlineStr">
        <is>
          <t>VÄSTRA GÖTALANDS LÄN</t>
        </is>
      </c>
      <c r="E110" t="inlineStr">
        <is>
          <t>ORUST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6957-2024</t>
        </is>
      </c>
      <c r="B111" s="1" t="n">
        <v>45343.45112268518</v>
      </c>
      <c r="C111" s="1" t="n">
        <v>45972</v>
      </c>
      <c r="D111" t="inlineStr">
        <is>
          <t>VÄSTRA GÖTALANDS LÄN</t>
        </is>
      </c>
      <c r="E111" t="inlineStr">
        <is>
          <t>ORUST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45972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45972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45972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2632-2024</t>
        </is>
      </c>
      <c r="B115" s="1" t="n">
        <v>45313.97175925926</v>
      </c>
      <c r="C115" s="1" t="n">
        <v>45972</v>
      </c>
      <c r="D115" t="inlineStr">
        <is>
          <t>VÄSTRA GÖTALANDS LÄN</t>
        </is>
      </c>
      <c r="E115" t="inlineStr">
        <is>
          <t>ORUST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49365-2025</t>
        </is>
      </c>
      <c r="B116" s="1" t="n">
        <v>45938.62341435185</v>
      </c>
      <c r="C116" s="1" t="n">
        <v>45972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45972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45972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45972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45972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45972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45972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23046-2024</t>
        </is>
      </c>
      <c r="B123" s="1" t="n">
        <v>45450.4240625</v>
      </c>
      <c r="C123" s="1" t="n">
        <v>45972</v>
      </c>
      <c r="D123" t="inlineStr">
        <is>
          <t>VÄSTRA GÖTALANDS LÄN</t>
        </is>
      </c>
      <c r="E123" t="inlineStr">
        <is>
          <t>ORUST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41063-2025</t>
        </is>
      </c>
      <c r="B124" s="1" t="n">
        <v>45898</v>
      </c>
      <c r="C124" s="1" t="n">
        <v>45972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40681-2025</t>
        </is>
      </c>
      <c r="B125" s="1" t="n">
        <v>45896.85623842593</v>
      </c>
      <c r="C125" s="1" t="n">
        <v>45972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22959-2025</t>
        </is>
      </c>
      <c r="B126" s="1" t="n">
        <v>45790</v>
      </c>
      <c r="C126" s="1" t="n">
        <v>45972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9937-2025</t>
        </is>
      </c>
      <c r="B127" s="1" t="n">
        <v>45718.64129629629</v>
      </c>
      <c r="C127" s="1" t="n">
        <v>45972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23258-2025</t>
        </is>
      </c>
      <c r="B128" s="1" t="n">
        <v>45791.53902777778</v>
      </c>
      <c r="C128" s="1" t="n">
        <v>45972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45972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13521-2025</t>
        </is>
      </c>
      <c r="B130" s="1" t="n">
        <v>45736.48755787037</v>
      </c>
      <c r="C130" s="1" t="n">
        <v>45972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13536-2025</t>
        </is>
      </c>
      <c r="B131" s="1" t="n">
        <v>45736.51413194444</v>
      </c>
      <c r="C131" s="1" t="n">
        <v>45972</v>
      </c>
      <c r="D131" t="inlineStr">
        <is>
          <t>VÄSTRA GÖTALANDS LÄN</t>
        </is>
      </c>
      <c r="E131" t="inlineStr">
        <is>
          <t>ORUST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47884-2024</t>
        </is>
      </c>
      <c r="B132" s="1" t="n">
        <v>45588.81101851852</v>
      </c>
      <c r="C132" s="1" t="n">
        <v>45972</v>
      </c>
      <c r="D132" t="inlineStr">
        <is>
          <t>VÄSTRA GÖTALANDS LÄN</t>
        </is>
      </c>
      <c r="E132" t="inlineStr">
        <is>
          <t>ORUST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5926-2024</t>
        </is>
      </c>
      <c r="B133" s="1" t="n">
        <v>45336</v>
      </c>
      <c r="C133" s="1" t="n">
        <v>45972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14760-2025</t>
        </is>
      </c>
      <c r="B134" s="1" t="n">
        <v>45742</v>
      </c>
      <c r="C134" s="1" t="n">
        <v>45972</v>
      </c>
      <c r="D134" t="inlineStr">
        <is>
          <t>VÄSTRA GÖTALANDS LÄN</t>
        </is>
      </c>
      <c r="E134" t="inlineStr">
        <is>
          <t>ORUST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45972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23259-2025</t>
        </is>
      </c>
      <c r="B136" s="1" t="n">
        <v>45791.53978009259</v>
      </c>
      <c r="C136" s="1" t="n">
        <v>45972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41688-2025</t>
        </is>
      </c>
      <c r="B137" s="1" t="n">
        <v>45902.39888888889</v>
      </c>
      <c r="C137" s="1" t="n">
        <v>45972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23254-2025</t>
        </is>
      </c>
      <c r="B138" s="1" t="n">
        <v>45791.5340162037</v>
      </c>
      <c r="C138" s="1" t="n">
        <v>45972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34046-2024</t>
        </is>
      </c>
      <c r="B139" s="1" t="n">
        <v>45523.60449074074</v>
      </c>
      <c r="C139" s="1" t="n">
        <v>45972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24321-2025</t>
        </is>
      </c>
      <c r="B140" s="1" t="n">
        <v>45797</v>
      </c>
      <c r="C140" s="1" t="n">
        <v>45972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41881-2025</t>
        </is>
      </c>
      <c r="B141" s="1" t="n">
        <v>45903.36444444444</v>
      </c>
      <c r="C141" s="1" t="n">
        <v>45972</v>
      </c>
      <c r="D141" t="inlineStr">
        <is>
          <t>VÄSTRA GÖTALANDS LÄN</t>
        </is>
      </c>
      <c r="E141" t="inlineStr">
        <is>
          <t>ORUST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45972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42069-2025</t>
        </is>
      </c>
      <c r="B143" s="1" t="n">
        <v>45903.65700231482</v>
      </c>
      <c r="C143" s="1" t="n">
        <v>45972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42457-2025</t>
        </is>
      </c>
      <c r="B144" s="1" t="n">
        <v>45905.45289351852</v>
      </c>
      <c r="C144" s="1" t="n">
        <v>45972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45972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44754-2024</t>
        </is>
      </c>
      <c r="B146" s="1" t="n">
        <v>45574.61065972222</v>
      </c>
      <c r="C146" s="1" t="n">
        <v>45972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27277-2025</t>
        </is>
      </c>
      <c r="B147" s="1" t="n">
        <v>45812.52674768519</v>
      </c>
      <c r="C147" s="1" t="n">
        <v>45972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45972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27555-2025</t>
        </is>
      </c>
      <c r="B149" s="1" t="n">
        <v>45813.47424768518</v>
      </c>
      <c r="C149" s="1" t="n">
        <v>45972</v>
      </c>
      <c r="D149" t="inlineStr">
        <is>
          <t>VÄSTRA GÖTALANDS LÄN</t>
        </is>
      </c>
      <c r="E149" t="inlineStr">
        <is>
          <t>ORUST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54279-2024</t>
        </is>
      </c>
      <c r="B150" s="1" t="n">
        <v>45616.855</v>
      </c>
      <c r="C150" s="1" t="n">
        <v>45972</v>
      </c>
      <c r="D150" t="inlineStr">
        <is>
          <t>VÄSTRA GÖTALANDS LÄN</t>
        </is>
      </c>
      <c r="E150" t="inlineStr">
        <is>
          <t>ORUST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45972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45972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45972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45972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45972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37000-2023</t>
        </is>
      </c>
      <c r="B156" s="1" t="n">
        <v>45155.26925925926</v>
      </c>
      <c r="C156" s="1" t="n">
        <v>45972</v>
      </c>
      <c r="D156" t="inlineStr">
        <is>
          <t>VÄSTRA GÖTALANDS LÄN</t>
        </is>
      </c>
      <c r="E156" t="inlineStr">
        <is>
          <t>ORUST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33300-2025</t>
        </is>
      </c>
      <c r="B157" s="1" t="n">
        <v>45840.93423611111</v>
      </c>
      <c r="C157" s="1" t="n">
        <v>45972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33295-2025</t>
        </is>
      </c>
      <c r="B158" s="1" t="n">
        <v>45840.92070601852</v>
      </c>
      <c r="C158" s="1" t="n">
        <v>45972</v>
      </c>
      <c r="D158" t="inlineStr">
        <is>
          <t>VÄSTRA GÖTALANDS LÄN</t>
        </is>
      </c>
      <c r="E158" t="inlineStr">
        <is>
          <t>ORUST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33296-2025</t>
        </is>
      </c>
      <c r="B159" s="1" t="n">
        <v>45840.92538194444</v>
      </c>
      <c r="C159" s="1" t="n">
        <v>45972</v>
      </c>
      <c r="D159" t="inlineStr">
        <is>
          <t>VÄSTRA GÖTALANDS LÄN</t>
        </is>
      </c>
      <c r="E159" t="inlineStr">
        <is>
          <t>ORUST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33299-2025</t>
        </is>
      </c>
      <c r="B160" s="1" t="n">
        <v>45840.93229166666</v>
      </c>
      <c r="C160" s="1" t="n">
        <v>45972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45847.43075231482</v>
      </c>
      <c r="C161" s="1" t="n">
        <v>45972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34502-2025</t>
        </is>
      </c>
      <c r="B162" s="1" t="n">
        <v>45847.43163194445</v>
      </c>
      <c r="C162" s="1" t="n">
        <v>45972</v>
      </c>
      <c r="D162" t="inlineStr">
        <is>
          <t>VÄSTRA GÖTALANDS LÄN</t>
        </is>
      </c>
      <c r="E162" t="inlineStr">
        <is>
          <t>ORUST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54128-2025</t>
        </is>
      </c>
      <c r="B163" s="1" t="n">
        <v>45964.45993055555</v>
      </c>
      <c r="C163" s="1" t="n">
        <v>45972</v>
      </c>
      <c r="D163" t="inlineStr">
        <is>
          <t>VÄSTRA GÖTALANDS LÄN</t>
        </is>
      </c>
      <c r="E163" t="inlineStr">
        <is>
          <t>ORUST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45972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45972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45972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45972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45972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45972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36695-2025</t>
        </is>
      </c>
      <c r="B170" s="1" t="n">
        <v>45872</v>
      </c>
      <c r="C170" s="1" t="n">
        <v>45972</v>
      </c>
      <c r="D170" t="inlineStr">
        <is>
          <t>VÄSTRA GÖTALANDS LÄN</t>
        </is>
      </c>
      <c r="E170" t="inlineStr">
        <is>
          <t>ORUST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36722-2025</t>
        </is>
      </c>
      <c r="B171" s="1" t="n">
        <v>45872</v>
      </c>
      <c r="C171" s="1" t="n">
        <v>45972</v>
      </c>
      <c r="D171" t="inlineStr">
        <is>
          <t>VÄSTRA GÖTALANDS LÄN</t>
        </is>
      </c>
      <c r="E171" t="inlineStr">
        <is>
          <t>ORUST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36719-2025</t>
        </is>
      </c>
      <c r="B172" s="1" t="n">
        <v>45872</v>
      </c>
      <c r="C172" s="1" t="n">
        <v>45972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57877-2022</t>
        </is>
      </c>
      <c r="B173" s="1" t="n">
        <v>44899.8749537037</v>
      </c>
      <c r="C173" s="1" t="n">
        <v>45972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13378-2023</t>
        </is>
      </c>
      <c r="B174" s="1" t="n">
        <v>45005.50077546296</v>
      </c>
      <c r="C174" s="1" t="n">
        <v>45972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50532-2024</t>
        </is>
      </c>
      <c r="B175" s="1" t="n">
        <v>45601.56552083333</v>
      </c>
      <c r="C175" s="1" t="n">
        <v>45972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2025-11-11T10:09:11Z</dcterms:created>
  <dcterms:modified xmlns:dcterms="http://purl.org/dc/terms/" xmlns:xsi="http://www.w3.org/2001/XMLSchema-instance" xsi:type="dcterms:W3CDTF">2025-11-11T10:09:11Z</dcterms:modified>
</cp:coreProperties>
</file>