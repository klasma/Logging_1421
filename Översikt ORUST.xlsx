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46326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46326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46326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46326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46326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46326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46326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46326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40270-2024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45554</v>
      </c>
      <c r="E10" s="1" t="n">
        <v>46326</v>
      </c>
      <c r="F10" t="inlineStr">
        <is>
          <t>VÄSTRA GÖTALANDS LÄN</t>
        </is>
      </c>
      <c r="G10" t="inlineStr">
        <is>
          <t>ORUST</t>
        </is>
      </c>
      <c r="I10" t="n">
        <v>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40270-2024 artfynd.xlsx", "A 40270-2024")</f>
        <v/>
      </c>
      <c r="X10">
        <f>HYPERLINK("https://klasma.github.io/Logging_1421/kartor/A 40270-2024 karta.png", "A 40270-2024")</f>
        <v/>
      </c>
      <c r="Y10">
        <f>HYPERLINK("https://klasma.github.io/Logging_1421/kartor_geotiff/A 40270-2024 georefererad karta.tif", "A 40270-2024")</f>
        <v/>
      </c>
      <c r="Z10">
        <f>HYPERLINK("https://klasma.github.io/Logging_1421/knärot/A 40270-2024 karta knärot.png", "A 40270-2024")</f>
        <v/>
      </c>
      <c r="AA10">
        <f>HYPERLINK("https://klasma.github.io/Logging_1421/klagomål/A 40270-2024 FSC-klagomål.docx", "A 40270-2024")</f>
        <v/>
      </c>
      <c r="AB10">
        <f>HYPERLINK("https://klasma.github.io/Logging_1421/klagomålsmail/A 40270-2024 FSC-klagomål mail.docx", "A 40270-2024")</f>
        <v/>
      </c>
      <c r="AC10">
        <f>HYPERLINK("https://klasma.github.io/Logging_1421/tillsyn/A 40270-2024 tillsynsbegäran.docx", "A 40270-2024")</f>
        <v/>
      </c>
      <c r="AD10">
        <f>HYPERLINK("https://klasma.github.io/Logging_1421/tillsynsmail/A 40270-2024 tillsynsbegäran mail.docx", "A 40270-2024")</f>
        <v/>
      </c>
    </row>
    <row r="11" ht="15" customHeight="1">
      <c r="A11" t="inlineStr">
        <is>
          <t>A 56035-2025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45973</v>
      </c>
      <c r="E11" s="1" t="n">
        <v>46326</v>
      </c>
      <c r="F11" t="inlineStr">
        <is>
          <t>VÄSTRA GÖTALANDS LÄN</t>
        </is>
      </c>
      <c r="G11" t="inlineStr">
        <is>
          <t>ORUST</t>
        </is>
      </c>
      <c r="I11" t="n">
        <v>15.9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0</v>
      </c>
      <c r="V11" s="2" t="inlineStr">
        <is>
          <t>Knärot</t>
        </is>
      </c>
      <c r="W11">
        <f>HYPERLINK("https://klasma.github.io/Logging_1421/artfynd/A 56035-2025 artfynd.xlsx", "A 56035-2025")</f>
        <v/>
      </c>
      <c r="X11">
        <f>HYPERLINK("https://klasma.github.io/Logging_1421/kartor/A 56035-2025 karta.png", "A 56035-2025")</f>
        <v/>
      </c>
      <c r="Y11">
        <f>HYPERLINK("https://klasma.github.io/Logging_1421/kartor_geotiff/A 56035-2025 georefererad karta.tif", "A 56035-2025")</f>
        <v/>
      </c>
      <c r="Z11">
        <f>HYPERLINK("https://klasma.github.io/Logging_1421/knärot/A 56035-2025 karta knärot.png", "A 56035-2025")</f>
        <v/>
      </c>
      <c r="AA11">
        <f>HYPERLINK("https://klasma.github.io/Logging_1421/klagomål/A 56035-2025 FSC-klagomål.docx", "A 56035-2025")</f>
        <v/>
      </c>
      <c r="AB11">
        <f>HYPERLINK("https://klasma.github.io/Logging_1421/klagomålsmail/A 56035-2025 FSC-klagomål mail.docx", "A 56035-2025")</f>
        <v/>
      </c>
      <c r="AC11">
        <f>HYPERLINK("https://klasma.github.io/Logging_1421/tillsyn/A 56035-2025 tillsynsbegäran.docx", "A 56035-2025")</f>
        <v/>
      </c>
      <c r="AD11">
        <f>HYPERLINK("https://klasma.github.io/Logging_1421/tillsynsmail/A 56035-2025 tillsynsbegäran mail.docx", "A 56035-2025")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46326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46326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46326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46326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13220-2024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46326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13220-2024 artfynd.xlsx", "A 13220-2024")</f>
        <v/>
      </c>
      <c r="X16">
        <f>HYPERLINK("https://klasma.github.io/Logging_1421/kartor/A 13220-2024 karta.png", "A 13220-2024")</f>
        <v/>
      </c>
      <c r="Y16">
        <f>HYPERLINK("https://klasma.github.io/Logging_1421/kartor_geotiff/A 13220-2024 georefererad karta.tif", "A 13220-2024")</f>
        <v/>
      </c>
      <c r="Z16">
        <f>HYPERLINK("https://klasma.github.io/Logging_1421/knärot/A 13220-2024 karta knärot.png", "A 13220-2024")</f>
        <v/>
      </c>
      <c r="AA16">
        <f>HYPERLINK("https://klasma.github.io/Logging_1421/klagomål/A 13220-2024 FSC-klagomål.docx", "A 13220-2024")</f>
        <v/>
      </c>
      <c r="AB16">
        <f>HYPERLINK("https://klasma.github.io/Logging_1421/klagomålsmail/A 13220-2024 FSC-klagomål mail.docx", "A 13220-2024")</f>
        <v/>
      </c>
      <c r="AC16">
        <f>HYPERLINK("https://klasma.github.io/Logging_1421/tillsyn/A 13220-2024 tillsynsbegäran.docx", "A 13220-2024")</f>
        <v/>
      </c>
      <c r="AD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46326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46326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46326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5617-2024 artfynd.xlsx", "A 5617-2024")</f>
        <v/>
      </c>
      <c r="X19">
        <f>HYPERLINK("https://klasma.github.io/Logging_1421/kartor/A 5617-2024 karta.png", "A 5617-2024")</f>
        <v/>
      </c>
      <c r="Y19">
        <f>HYPERLINK("https://klasma.github.io/Logging_1421/kartor_geotiff/A 5617-2024 georefererad karta.tif", "A 5617-2024")</f>
        <v/>
      </c>
      <c r="Z19">
        <f>HYPERLINK("https://klasma.github.io/Logging_1421/knärot/A 5617-2024 karta knärot.png", "A 5617-2024")</f>
        <v/>
      </c>
      <c r="AA19">
        <f>HYPERLINK("https://klasma.github.io/Logging_1421/klagomål/A 5617-2024 FSC-klagomål.docx", "A 5617-2024")</f>
        <v/>
      </c>
      <c r="AB19">
        <f>HYPERLINK("https://klasma.github.io/Logging_1421/klagomålsmail/A 5617-2024 FSC-klagomål mail.docx", "A 5617-2024")</f>
        <v/>
      </c>
      <c r="AC19">
        <f>HYPERLINK("https://klasma.github.io/Logging_1421/tillsyn/A 5617-2024 tillsynsbegäran.docx", "A 5617-2024")</f>
        <v/>
      </c>
      <c r="AD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46326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44233-2023 artfynd.xlsx", "A 44233-2023")</f>
        <v/>
      </c>
      <c r="X20">
        <f>HYPERLINK("https://klasma.github.io/Logging_1421/kartor/A 44233-2023 karta.png", "A 44233-2023")</f>
        <v/>
      </c>
      <c r="Y20">
        <f>HYPERLINK("https://klasma.github.io/Logging_1421/kartor_geotiff/A 44233-2023 georefererad karta.tif", "A 44233-2023")</f>
        <v/>
      </c>
      <c r="Z20">
        <f>HYPERLINK("https://klasma.github.io/Logging_1421/knärot/A 44233-2023 karta knärot.png", "A 44233-2023")</f>
        <v/>
      </c>
      <c r="AA20">
        <f>HYPERLINK("https://klasma.github.io/Logging_1421/klagomål/A 44233-2023 FSC-klagomål.docx", "A 44233-2023")</f>
        <v/>
      </c>
      <c r="AB20">
        <f>HYPERLINK("https://klasma.github.io/Logging_1421/klagomålsmail/A 44233-2023 FSC-klagomål mail.docx", "A 44233-2023")</f>
        <v/>
      </c>
      <c r="AC20">
        <f>HYPERLINK("https://klasma.github.io/Logging_1421/tillsyn/A 44233-2023 tillsynsbegäran.docx", "A 44233-2023")</f>
        <v/>
      </c>
      <c r="AD20">
        <f>HYPERLINK("https://klasma.github.io/Logging_1421/tillsynsmail/A 44233-2023 tillsynsbegäran mail.docx", "A 44233-2023")</f>
        <v/>
      </c>
    </row>
    <row r="21" ht="15" customHeight="1">
      <c r="A21" t="inlineStr">
        <is>
          <t>A 5634-2025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46326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Knärot</t>
        </is>
      </c>
      <c r="W21">
        <f>HYPERLINK("https://klasma.github.io/Logging_1421/artfynd/A 5634-2025 artfynd.xlsx", "A 5634-2025")</f>
        <v/>
      </c>
      <c r="X21">
        <f>HYPERLINK("https://klasma.github.io/Logging_1421/kartor/A 5634-2025 karta.png", "A 5634-2025")</f>
        <v/>
      </c>
      <c r="Y21">
        <f>HYPERLINK("https://klasma.github.io/Logging_1421/kartor_geotiff/A 5634-2025 georefererad karta.tif", "A 5634-2025")</f>
        <v/>
      </c>
      <c r="Z21">
        <f>HYPERLINK("https://klasma.github.io/Logging_1421/knärot/A 5634-2025 karta knärot.png", "A 5634-2025")</f>
        <v/>
      </c>
      <c r="AA21">
        <f>HYPERLINK("https://klasma.github.io/Logging_1421/klagomål/A 5634-2025 FSC-klagomål.docx", "A 5634-2025")</f>
        <v/>
      </c>
      <c r="AB21">
        <f>HYPERLINK("https://klasma.github.io/Logging_1421/klagomålsmail/A 5634-2025 FSC-klagomål mail.docx", "A 5634-2025")</f>
        <v/>
      </c>
      <c r="AC21">
        <f>HYPERLINK("https://klasma.github.io/Logging_1421/tillsyn/A 5634-2025 tillsynsbegäran.docx", "A 5634-2025")</f>
        <v/>
      </c>
      <c r="AD21">
        <f>HYPERLINK("https://klasma.github.io/Logging_1421/tillsynsmail/A 5634-2025 tillsynsbegäran mail.docx", "A 5634-2025")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46326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46326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41056-2025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46326</v>
      </c>
      <c r="F24" t="inlineStr">
        <is>
          <t>VÄSTRA GÖTALANDS LÄN</t>
        </is>
      </c>
      <c r="G24" t="inlineStr">
        <is>
          <t>ORUST</t>
        </is>
      </c>
      <c r="I24" t="n">
        <v>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HYPERLINK("https://klasma.github.io/Logging_1421/artfynd/A 41056-2025 artfynd.xlsx", "A 41056-2025")</f>
        <v/>
      </c>
      <c r="X24">
        <f>HYPERLINK("https://klasma.github.io/Logging_1421/kartor/A 41056-2025 karta.png", "A 41056-2025")</f>
        <v/>
      </c>
      <c r="Y24">
        <f>HYPERLINK("https://klasma.github.io/Logging_1421/kartor_geotiff/A 41056-2025 georefererad karta.tif", "A 41056-2025")</f>
        <v/>
      </c>
      <c r="AA24">
        <f>HYPERLINK("https://klasma.github.io/Logging_1421/klagomål/A 41056-2025 FSC-klagomål.docx", "A 41056-2025")</f>
        <v/>
      </c>
      <c r="AB24">
        <f>HYPERLINK("https://klasma.github.io/Logging_1421/klagomålsmail/A 41056-2025 FSC-klagomål mail.docx", "A 41056-2025")</f>
        <v/>
      </c>
      <c r="AC24">
        <f>HYPERLINK("https://klasma.github.io/Logging_1421/tillsyn/A 41056-2025 tillsynsbegäran.docx", "A 41056-2025")</f>
        <v/>
      </c>
      <c r="AD24">
        <f>HYPERLINK("https://klasma.github.io/Logging_1421/tillsynsmail/A 41056-2025 tillsynsbegäran mail.docx", "A 41056-2025")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46326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46326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46326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46326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46326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46326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46326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46326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46326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46326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46326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46326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46326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46326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46326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46326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46326</v>
      </c>
      <c r="F41" t="inlineStr">
        <is>
          <t>VÄSTRA GÖTALANDS LÄN</t>
        </is>
      </c>
      <c r="G41" t="inlineStr">
        <is>
          <t>ORUST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44899</v>
      </c>
      <c r="E42" s="1" t="n">
        <v>46326</v>
      </c>
      <c r="F42" t="inlineStr">
        <is>
          <t>VÄSTRA GÖTALANDS LÄN</t>
        </is>
      </c>
      <c r="G42" t="inlineStr">
        <is>
          <t>ORUST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46326</v>
      </c>
      <c r="F43" t="inlineStr">
        <is>
          <t>VÄSTRA GÖTALANDS LÄN</t>
        </is>
      </c>
      <c r="G43" t="inlineStr">
        <is>
          <t>ORUST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46326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46326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46326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46326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46326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46326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46326</v>
      </c>
      <c r="F50" t="inlineStr">
        <is>
          <t>VÄSTRA GÖTALANDS LÄN</t>
        </is>
      </c>
      <c r="G50" t="inlineStr">
        <is>
          <t>ORUST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46326</v>
      </c>
      <c r="F51" t="inlineStr">
        <is>
          <t>VÄSTRA GÖTALANDS LÄN</t>
        </is>
      </c>
      <c r="G51" t="inlineStr">
        <is>
          <t>ORUST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46326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49115-2024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46326</v>
      </c>
      <c r="F53" t="inlineStr">
        <is>
          <t>VÄSTRA GÖTALANDS LÄN</t>
        </is>
      </c>
      <c r="G53" t="inlineStr">
        <is>
          <t>ORUST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46326</v>
      </c>
      <c r="F54" t="inlineStr">
        <is>
          <t>VÄSTRA GÖTALANDS LÄN</t>
        </is>
      </c>
      <c r="G54" t="inlineStr">
        <is>
          <t>ORUST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46036</v>
      </c>
      <c r="E55" s="1" t="n">
        <v>46326</v>
      </c>
      <c r="F55" t="inlineStr">
        <is>
          <t>VÄSTRA GÖTALANDS LÄN</t>
        </is>
      </c>
      <c r="G55" t="inlineStr">
        <is>
          <t>ORUST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46036</v>
      </c>
      <c r="E56" s="1" t="n">
        <v>46326</v>
      </c>
      <c r="F56" t="inlineStr">
        <is>
          <t>VÄSTRA GÖTALANDS LÄN</t>
        </is>
      </c>
      <c r="G56" t="inlineStr">
        <is>
          <t>ORUST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46326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46326</v>
      </c>
      <c r="F58" t="inlineStr">
        <is>
          <t>VÄSTRA GÖTALANDS LÄN</t>
        </is>
      </c>
      <c r="G58" t="inlineStr">
        <is>
          <t>ORUST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45903</v>
      </c>
      <c r="E59" s="1" t="n">
        <v>46326</v>
      </c>
      <c r="F59" t="inlineStr">
        <is>
          <t>VÄSTRA GÖTALANDS LÄN</t>
        </is>
      </c>
      <c r="G59" t="inlineStr">
        <is>
          <t>ORUST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71890-2021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44543</v>
      </c>
      <c r="E60" s="1" t="n">
        <v>46326</v>
      </c>
      <c r="F60" t="inlineStr">
        <is>
          <t>VÄSTRA GÖTALANDS LÄN</t>
        </is>
      </c>
      <c r="G60" t="inlineStr">
        <is>
          <t>ORUST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46326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46044</v>
      </c>
      <c r="E62" s="1" t="n">
        <v>46326</v>
      </c>
      <c r="F62" t="inlineStr">
        <is>
          <t>VÄSTRA GÖTALANDS LÄN</t>
        </is>
      </c>
      <c r="G62" t="inlineStr">
        <is>
          <t>ORUST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45343</v>
      </c>
      <c r="E63" s="1" t="n">
        <v>46326</v>
      </c>
      <c r="F63" t="inlineStr">
        <is>
          <t>VÄSTRA GÖTALANDS LÄN</t>
        </is>
      </c>
      <c r="G63" t="inlineStr">
        <is>
          <t>ORUST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46326</v>
      </c>
      <c r="F64" t="inlineStr">
        <is>
          <t>VÄSTRA GÖTALANDS LÄN</t>
        </is>
      </c>
      <c r="G64" t="inlineStr">
        <is>
          <t>ORUST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13378-2023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45005</v>
      </c>
      <c r="E65" s="1" t="n">
        <v>46326</v>
      </c>
      <c r="F65" t="inlineStr">
        <is>
          <t>VÄSTRA GÖTALANDS LÄN</t>
        </is>
      </c>
      <c r="G65" t="inlineStr">
        <is>
          <t>ORUST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33300-2025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45840</v>
      </c>
      <c r="E66" s="1" t="n">
        <v>46326</v>
      </c>
      <c r="F66" t="inlineStr">
        <is>
          <t>VÄSTRA GÖTALANDS LÄN</t>
        </is>
      </c>
      <c r="G66" t="inlineStr">
        <is>
          <t>ORUST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33295-2025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46326</v>
      </c>
      <c r="F67" t="inlineStr">
        <is>
          <t>VÄSTRA GÖTALANDS LÄN</t>
        </is>
      </c>
      <c r="G67" t="inlineStr">
        <is>
          <t>ORUST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46326</v>
      </c>
      <c r="F68" t="inlineStr">
        <is>
          <t>VÄSTRA GÖTALANDS LÄN</t>
        </is>
      </c>
      <c r="G68" t="inlineStr">
        <is>
          <t>ORUST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25925-2024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45467</v>
      </c>
      <c r="E69" s="1" t="n">
        <v>46326</v>
      </c>
      <c r="F69" t="inlineStr">
        <is>
          <t>VÄSTRA GÖTALANDS LÄN</t>
        </is>
      </c>
      <c r="G69" t="inlineStr">
        <is>
          <t>ORUST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34502-2025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45847</v>
      </c>
      <c r="E70" s="1" t="n">
        <v>46326</v>
      </c>
      <c r="F70" t="inlineStr">
        <is>
          <t>VÄSTRA GÖTALANDS LÄN</t>
        </is>
      </c>
      <c r="G70" t="inlineStr">
        <is>
          <t>ORUST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45872</v>
      </c>
      <c r="E71" s="1" t="n">
        <v>46326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45934</v>
      </c>
      <c r="E72" s="1" t="n">
        <v>46326</v>
      </c>
      <c r="F72" t="inlineStr">
        <is>
          <t>VÄSTRA GÖTALANDS LÄN</t>
        </is>
      </c>
      <c r="G72" t="inlineStr">
        <is>
          <t>ORUST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46326</v>
      </c>
      <c r="F73" t="inlineStr">
        <is>
          <t>VÄSTRA GÖTALANDS LÄN</t>
        </is>
      </c>
      <c r="G73" t="inlineStr">
        <is>
          <t>ORUST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46326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46326</v>
      </c>
      <c r="F75" t="inlineStr">
        <is>
          <t>VÄSTRA GÖTALANDS LÄN</t>
        </is>
      </c>
      <c r="G75" t="inlineStr">
        <is>
          <t>ORUST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6739-2026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46056</v>
      </c>
      <c r="E76" s="1" t="n">
        <v>46326</v>
      </c>
      <c r="F76" t="inlineStr">
        <is>
          <t>VÄSTRA GÖTALANDS LÄN</t>
        </is>
      </c>
      <c r="G76" t="inlineStr">
        <is>
          <t>ORUST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45667</v>
      </c>
      <c r="E77" s="1" t="n">
        <v>46326</v>
      </c>
      <c r="F77" t="inlineStr">
        <is>
          <t>VÄSTRA GÖTALANDS LÄN</t>
        </is>
      </c>
      <c r="G77" t="inlineStr">
        <is>
          <t>ORUST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46326</v>
      </c>
      <c r="F78" t="inlineStr">
        <is>
          <t>VÄSTRA GÖTALANDS LÄN</t>
        </is>
      </c>
      <c r="G78" t="inlineStr">
        <is>
          <t>ORUST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46326</v>
      </c>
      <c r="F79" t="inlineStr">
        <is>
          <t>VÄSTRA GÖTALANDS LÄN</t>
        </is>
      </c>
      <c r="G79" t="inlineStr">
        <is>
          <t>ORUST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46326</v>
      </c>
      <c r="F80" t="inlineStr">
        <is>
          <t>VÄSTRA GÖTALANDS LÄN</t>
        </is>
      </c>
      <c r="G80" t="inlineStr">
        <is>
          <t>ORUST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46075</v>
      </c>
      <c r="E81" s="1" t="n">
        <v>46326</v>
      </c>
      <c r="F81" t="inlineStr">
        <is>
          <t>VÄSTRA GÖTALANDS LÄN</t>
        </is>
      </c>
      <c r="G81" t="inlineStr">
        <is>
          <t>ORUST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46326</v>
      </c>
      <c r="F82" t="inlineStr">
        <is>
          <t>VÄSTRA GÖTALANDS LÄN</t>
        </is>
      </c>
      <c r="G82" t="inlineStr">
        <is>
          <t>ORUST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46326</v>
      </c>
      <c r="F83" t="inlineStr">
        <is>
          <t>VÄSTRA GÖTALANDS LÄN</t>
        </is>
      </c>
      <c r="G83" t="inlineStr">
        <is>
          <t>ORUST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46326</v>
      </c>
      <c r="F84" t="inlineStr">
        <is>
          <t>VÄSTRA GÖTALANDS LÄN</t>
        </is>
      </c>
      <c r="G84" t="inlineStr">
        <is>
          <t>ORUST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46326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46326</v>
      </c>
      <c r="F86" t="inlineStr">
        <is>
          <t>VÄSTRA GÖTALANDS LÄN</t>
        </is>
      </c>
      <c r="G86" t="inlineStr">
        <is>
          <t>ORUST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46326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46326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45005</v>
      </c>
      <c r="E89" s="1" t="n">
        <v>46326</v>
      </c>
      <c r="F89" t="inlineStr">
        <is>
          <t>VÄSTRA GÖTALANDS LÄN</t>
        </is>
      </c>
      <c r="G89" t="inlineStr">
        <is>
          <t>ORUST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46326</v>
      </c>
      <c r="F90" t="inlineStr">
        <is>
          <t>VÄSTRA GÖTALANDS LÄN</t>
        </is>
      </c>
      <c r="G90" t="inlineStr">
        <is>
          <t>ORUST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45992</v>
      </c>
      <c r="E91" s="1" t="n">
        <v>46326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45641</v>
      </c>
      <c r="E92" s="1" t="n">
        <v>46326</v>
      </c>
      <c r="F92" t="inlineStr">
        <is>
          <t>VÄSTRA GÖTALANDS LÄN</t>
        </is>
      </c>
      <c r="G92" t="inlineStr">
        <is>
          <t>ORUST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46000</v>
      </c>
      <c r="E93" s="1" t="n">
        <v>46326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45181</v>
      </c>
      <c r="E94" s="1" t="n">
        <v>46326</v>
      </c>
      <c r="F94" t="inlineStr">
        <is>
          <t>VÄSTRA GÖTALANDS LÄN</t>
        </is>
      </c>
      <c r="G94" t="inlineStr">
        <is>
          <t>ORUST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46326</v>
      </c>
      <c r="F95" t="inlineStr">
        <is>
          <t>VÄSTRA GÖTALANDS LÄN</t>
        </is>
      </c>
      <c r="G95" t="inlineStr">
        <is>
          <t>ORUST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20131-2025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45772</v>
      </c>
      <c r="E96" s="1" t="n">
        <v>46326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46326</v>
      </c>
      <c r="F97" t="inlineStr">
        <is>
          <t>VÄSTRA GÖTALANDS LÄN</t>
        </is>
      </c>
      <c r="G97" t="inlineStr">
        <is>
          <t>ORUST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45535</v>
      </c>
      <c r="E98" s="1" t="n">
        <v>46326</v>
      </c>
      <c r="F98" t="inlineStr">
        <is>
          <t>VÄSTRA GÖTALANDS LÄN</t>
        </is>
      </c>
      <c r="G98" t="inlineStr">
        <is>
          <t>ORUST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45629</v>
      </c>
      <c r="E99" s="1" t="n">
        <v>46326</v>
      </c>
      <c r="F99" t="inlineStr">
        <is>
          <t>VÄSTRA GÖTALANDS LÄN</t>
        </is>
      </c>
      <c r="G99" t="inlineStr">
        <is>
          <t>ORUST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46120</v>
      </c>
      <c r="E100" s="1" t="n">
        <v>46326</v>
      </c>
      <c r="F100" t="inlineStr">
        <is>
          <t>VÄSTRA GÖTALANDS LÄN</t>
        </is>
      </c>
      <c r="G100" t="inlineStr">
        <is>
          <t>ORUST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46326</v>
      </c>
      <c r="F101" t="inlineStr">
        <is>
          <t>VÄSTRA GÖTALANDS LÄN</t>
        </is>
      </c>
      <c r="G101" t="inlineStr">
        <is>
          <t>ORUST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23258-2025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46326</v>
      </c>
      <c r="F102" t="inlineStr">
        <is>
          <t>VÄSTRA GÖTALANDS LÄN</t>
        </is>
      </c>
      <c r="G102" t="inlineStr">
        <is>
          <t>ORUST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46326</v>
      </c>
      <c r="F103" t="inlineStr">
        <is>
          <t>VÄSTRA GÖTALANDS LÄN</t>
        </is>
      </c>
      <c r="G103" t="inlineStr">
        <is>
          <t>ORUST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34500-2025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46326</v>
      </c>
      <c r="F104" t="inlineStr">
        <is>
          <t>VÄSTRA GÖTALANDS LÄN</t>
        </is>
      </c>
      <c r="G104" t="inlineStr">
        <is>
          <t>ORUST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46326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45558</v>
      </c>
      <c r="E106" s="1" t="n">
        <v>46326</v>
      </c>
      <c r="F106" t="inlineStr">
        <is>
          <t>VÄSTRA GÖTALANDS LÄN</t>
        </is>
      </c>
      <c r="G106" t="inlineStr">
        <is>
          <t>ORUST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45895</v>
      </c>
      <c r="E107" s="1" t="n">
        <v>46326</v>
      </c>
      <c r="F107" t="inlineStr">
        <is>
          <t>VÄSTRA GÖTALANDS LÄN</t>
        </is>
      </c>
      <c r="G107" t="inlineStr">
        <is>
          <t>ORUST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46326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68727-2021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46326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46326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46326</v>
      </c>
      <c r="F111" t="inlineStr">
        <is>
          <t>VÄSTRA GÖTALANDS LÄN</t>
        </is>
      </c>
      <c r="G111" t="inlineStr">
        <is>
          <t>ORUST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46326</v>
      </c>
      <c r="F112" t="inlineStr">
        <is>
          <t>VÄSTRA GÖTALANDS LÄN</t>
        </is>
      </c>
      <c r="G112" t="inlineStr">
        <is>
          <t>ORUST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45396</v>
      </c>
      <c r="E113" s="1" t="n">
        <v>46326</v>
      </c>
      <c r="F113" t="inlineStr">
        <is>
          <t>VÄSTRA GÖTALANDS LÄN</t>
        </is>
      </c>
      <c r="G113" t="inlineStr">
        <is>
          <t>ORUST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45339</v>
      </c>
      <c r="E114" s="1" t="n">
        <v>46326</v>
      </c>
      <c r="F114" t="inlineStr">
        <is>
          <t>VÄSTRA GÖTALANDS LÄN</t>
        </is>
      </c>
      <c r="G114" t="inlineStr">
        <is>
          <t>ORUST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46326</v>
      </c>
      <c r="F115" t="inlineStr">
        <is>
          <t>VÄSTRA GÖTALANDS LÄN</t>
        </is>
      </c>
      <c r="G115" t="inlineStr">
        <is>
          <t>ORUST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46326</v>
      </c>
      <c r="F116" t="inlineStr">
        <is>
          <t>VÄSTRA GÖTALANDS LÄN</t>
        </is>
      </c>
      <c r="G116" t="inlineStr">
        <is>
          <t>ORUST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46326</v>
      </c>
      <c r="F117" t="inlineStr">
        <is>
          <t>VÄSTRA GÖTALANDS LÄN</t>
        </is>
      </c>
      <c r="G117" t="inlineStr">
        <is>
          <t>ORUST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46326</v>
      </c>
      <c r="F118" t="inlineStr">
        <is>
          <t>VÄSTRA GÖTALANDS LÄN</t>
        </is>
      </c>
      <c r="G118" t="inlineStr">
        <is>
          <t>ORUST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46326</v>
      </c>
      <c r="F119" t="inlineStr">
        <is>
          <t>VÄSTRA GÖTALANDS LÄN</t>
        </is>
      </c>
      <c r="G119" t="inlineStr">
        <is>
          <t>ORUST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46326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46326</v>
      </c>
      <c r="F121" t="inlineStr">
        <is>
          <t>VÄSTRA GÖTALANDS LÄN</t>
        </is>
      </c>
      <c r="G121" t="inlineStr">
        <is>
          <t>ORUST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46326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46326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46326</v>
      </c>
      <c r="F124" t="inlineStr">
        <is>
          <t>VÄSTRA GÖTALANDS LÄN</t>
        </is>
      </c>
      <c r="G124" t="inlineStr">
        <is>
          <t>ORUST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44655</v>
      </c>
      <c r="E125" s="1" t="n">
        <v>46326</v>
      </c>
      <c r="F125" t="inlineStr">
        <is>
          <t>VÄSTRA GÖTALANDS LÄN</t>
        </is>
      </c>
      <c r="G125" t="inlineStr">
        <is>
          <t>ORUST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45044</v>
      </c>
      <c r="E126" s="1" t="n">
        <v>46326</v>
      </c>
      <c r="F126" t="inlineStr">
        <is>
          <t>VÄSTRA GÖTALANDS LÄN</t>
        </is>
      </c>
      <c r="G126" t="inlineStr">
        <is>
          <t>ORUST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28109-2024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46326</v>
      </c>
      <c r="F127" t="inlineStr">
        <is>
          <t>VÄSTRA GÖTALANDS LÄN</t>
        </is>
      </c>
      <c r="G127" t="inlineStr">
        <is>
          <t>ORUST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46326</v>
      </c>
      <c r="F128" t="inlineStr">
        <is>
          <t>VÄSTRA GÖTALANDS LÄN</t>
        </is>
      </c>
      <c r="G128" t="inlineStr">
        <is>
          <t>ORUST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45511</v>
      </c>
      <c r="E129" s="1" t="n">
        <v>46326</v>
      </c>
      <c r="F129" t="inlineStr">
        <is>
          <t>VÄSTRA GÖTALANDS LÄN</t>
        </is>
      </c>
      <c r="G129" t="inlineStr">
        <is>
          <t>ORUST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45524</v>
      </c>
      <c r="E130" s="1" t="n">
        <v>46326</v>
      </c>
      <c r="F130" t="inlineStr">
        <is>
          <t>VÄSTRA GÖTALANDS LÄN</t>
        </is>
      </c>
      <c r="G130" t="inlineStr">
        <is>
          <t>ORUST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45198</v>
      </c>
      <c r="E131" s="1" t="n">
        <v>46326</v>
      </c>
      <c r="F131" t="inlineStr">
        <is>
          <t>VÄSTRA GÖTALANDS LÄN</t>
        </is>
      </c>
      <c r="G131" t="inlineStr">
        <is>
          <t>ORUST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44919</v>
      </c>
      <c r="E132" s="1" t="n">
        <v>46326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44899</v>
      </c>
      <c r="E133" s="1" t="n">
        <v>46326</v>
      </c>
      <c r="F133" t="inlineStr">
        <is>
          <t>VÄSTRA GÖTALANDS LÄN</t>
        </is>
      </c>
      <c r="G133" t="inlineStr">
        <is>
          <t>ORUST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45014</v>
      </c>
      <c r="E134" s="1" t="n">
        <v>46326</v>
      </c>
      <c r="F134" t="inlineStr">
        <is>
          <t>VÄSTRA GÖTALANDS LÄN</t>
        </is>
      </c>
      <c r="G134" t="inlineStr">
        <is>
          <t>ORUST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46326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45130</v>
      </c>
      <c r="E136" s="1" t="n">
        <v>46326</v>
      </c>
      <c r="F136" t="inlineStr">
        <is>
          <t>VÄSTRA GÖTALANDS LÄN</t>
        </is>
      </c>
      <c r="G136" t="inlineStr">
        <is>
          <t>ORUST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46326</v>
      </c>
      <c r="F137" t="inlineStr">
        <is>
          <t>VÄSTRA GÖTALANDS LÄN</t>
        </is>
      </c>
      <c r="G137" t="inlineStr">
        <is>
          <t>ORUST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46326</v>
      </c>
      <c r="F138" t="inlineStr">
        <is>
          <t>VÄSTRA GÖTALANDS LÄN</t>
        </is>
      </c>
      <c r="G138" t="inlineStr">
        <is>
          <t>ORUST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45718</v>
      </c>
      <c r="E139" s="1" t="n">
        <v>46326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46251</v>
      </c>
      <c r="E140" s="1" t="n">
        <v>46326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46326</v>
      </c>
      <c r="F141" t="inlineStr">
        <is>
          <t>VÄSTRA GÖTALANDS LÄN</t>
        </is>
      </c>
      <c r="G141" t="inlineStr">
        <is>
          <t>ORUST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46326</v>
      </c>
      <c r="F142" t="inlineStr">
        <is>
          <t>VÄSTRA GÖTALANDS LÄN</t>
        </is>
      </c>
      <c r="G142" t="inlineStr">
        <is>
          <t>ORUST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46326</v>
      </c>
      <c r="F143" t="inlineStr">
        <is>
          <t>VÄSTRA GÖTALANDS LÄN</t>
        </is>
      </c>
      <c r="G143" t="inlineStr">
        <is>
          <t>ORUST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46326</v>
      </c>
      <c r="F144" t="inlineStr">
        <is>
          <t>VÄSTRA GÖTALANDS LÄN</t>
        </is>
      </c>
      <c r="G144" t="inlineStr">
        <is>
          <t>ORUST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46213</v>
      </c>
      <c r="E145" s="1" t="n">
        <v>46326</v>
      </c>
      <c r="F145" t="inlineStr">
        <is>
          <t>VÄSTRA GÖTALANDS LÄN</t>
        </is>
      </c>
      <c r="G145" t="inlineStr">
        <is>
          <t>ORUST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46300</v>
      </c>
      <c r="E146" s="1" t="n">
        <v>46326</v>
      </c>
      <c r="F146" t="inlineStr">
        <is>
          <t>VÄSTRA GÖTALANDS LÄN</t>
        </is>
      </c>
      <c r="G146" t="inlineStr">
        <is>
          <t>ORUST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46304</v>
      </c>
      <c r="E147" s="1" t="n">
        <v>46326</v>
      </c>
      <c r="F147" t="inlineStr">
        <is>
          <t>VÄSTRA GÖTALANDS LÄN</t>
        </is>
      </c>
      <c r="G147" t="inlineStr">
        <is>
          <t>ORUST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46304</v>
      </c>
      <c r="E148" s="1" t="n">
        <v>46326</v>
      </c>
      <c r="F148" t="inlineStr">
        <is>
          <t>VÄSTRA GÖTALANDS LÄN</t>
        </is>
      </c>
      <c r="G148" t="inlineStr">
        <is>
          <t>ORUST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46314</v>
      </c>
      <c r="E149" s="1" t="n">
        <v>46326</v>
      </c>
      <c r="F149" t="inlineStr">
        <is>
          <t>VÄSTRA GÖTALANDS LÄN</t>
        </is>
      </c>
      <c r="G149" t="inlineStr">
        <is>
          <t>ORUST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46269</v>
      </c>
      <c r="E150" s="1" t="n">
        <v>46326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46316</v>
      </c>
      <c r="E151" s="1" t="n">
        <v>46326</v>
      </c>
      <c r="F151" t="inlineStr">
        <is>
          <t>VÄSTRA GÖTALANDS LÄN</t>
        </is>
      </c>
      <c r="G151" t="inlineStr">
        <is>
          <t>ORUST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46326</v>
      </c>
      <c r="F152" t="inlineStr">
        <is>
          <t>VÄSTRA GÖTALANDS LÄN</t>
        </is>
      </c>
      <c r="G152" t="inlineStr">
        <is>
          <t>ORUST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46318</v>
      </c>
      <c r="E153" s="1" t="n">
        <v>46326</v>
      </c>
      <c r="F153" t="inlineStr">
        <is>
          <t>VÄSTRA GÖTALANDS LÄN</t>
        </is>
      </c>
      <c r="G153" t="inlineStr">
        <is>
          <t>ORUST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46322</v>
      </c>
      <c r="E154" s="1" t="n">
        <v>46326</v>
      </c>
      <c r="F154" t="inlineStr">
        <is>
          <t>VÄSTRA GÖTALANDS LÄN</t>
        </is>
      </c>
      <c r="G154" t="inlineStr">
        <is>
          <t>ORUST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46321</v>
      </c>
      <c r="E155" s="1" t="n">
        <v>46326</v>
      </c>
      <c r="F155" t="inlineStr">
        <is>
          <t>VÄSTRA GÖTALANDS LÄN</t>
        </is>
      </c>
      <c r="G155" t="inlineStr">
        <is>
          <t>ORUST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46280</v>
      </c>
      <c r="E156" s="1" t="n">
        <v>46326</v>
      </c>
      <c r="F156" t="inlineStr">
        <is>
          <t>VÄSTRA GÖTALANDS LÄN</t>
        </is>
      </c>
      <c r="G156" t="inlineStr">
        <is>
          <t>ORUST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46322</v>
      </c>
      <c r="E157" s="1" t="n">
        <v>46326</v>
      </c>
      <c r="F157" t="inlineStr">
        <is>
          <t>VÄSTRA GÖTALANDS LÄN</t>
        </is>
      </c>
      <c r="G157" t="inlineStr">
        <is>
          <t>ORUST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46325</v>
      </c>
      <c r="E158" s="1" t="n">
        <v>46326</v>
      </c>
      <c r="F158" t="inlineStr">
        <is>
          <t>VÄSTRA GÖTALANDS LÄN</t>
        </is>
      </c>
      <c r="G158" t="inlineStr">
        <is>
          <t>ORUST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2776-2025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45937</v>
      </c>
      <c r="E159" s="1" t="n">
        <v>46326</v>
      </c>
      <c r="F159" t="inlineStr">
        <is>
          <t>VÄSTRA GÖTALANDS LÄN</t>
        </is>
      </c>
      <c r="G159" t="inlineStr">
        <is>
          <t>ORUST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2026-10-31T03:26:18Z</dcterms:created>
  <dcterms:modified xmlns:dcterms="http://purl.org/dc/terms/" xmlns:xsi="http://www.w3.org/2001/XMLSchema-instance" xsi:type="dcterms:W3CDTF">2026-10-31T03:26:18Z</dcterms:modified>
</cp:coreProperties>
</file>