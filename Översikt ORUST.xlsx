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46032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46032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46032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46032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46032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46032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46032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46032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46032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46032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46032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46032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46032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46032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46032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46032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46032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46032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46032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46032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46032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13243-2023</t>
        </is>
      </c>
      <c r="B52" s="1" t="n">
        <v>45002</v>
      </c>
      <c r="C52" s="1" t="n">
        <v>46032</v>
      </c>
      <c r="D52" t="inlineStr">
        <is>
          <t>VÄSTRA GÖTALANDS LÄN</t>
        </is>
      </c>
      <c r="E52" t="inlineStr">
        <is>
          <t>ORUST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46032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46032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22959-2025</t>
        </is>
      </c>
      <c r="B55" s="1" t="n">
        <v>45790</v>
      </c>
      <c r="C55" s="1" t="n">
        <v>46032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46032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46032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19005-2023</t>
        </is>
      </c>
      <c r="B58" s="1" t="n">
        <v>45045.60177083333</v>
      </c>
      <c r="C58" s="1" t="n">
        <v>46032</v>
      </c>
      <c r="D58" t="inlineStr">
        <is>
          <t>VÄSTRA GÖTALANDS LÄN</t>
        </is>
      </c>
      <c r="E58" t="inlineStr">
        <is>
          <t>ORUST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59309-2023</t>
        </is>
      </c>
      <c r="B59" s="1" t="n">
        <v>45253.606875</v>
      </c>
      <c r="C59" s="1" t="n">
        <v>46032</v>
      </c>
      <c r="D59" t="inlineStr">
        <is>
          <t>VÄSTRA GÖTALANDS LÄN</t>
        </is>
      </c>
      <c r="E59" t="inlineStr">
        <is>
          <t>ORUST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46032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59834-2025</t>
        </is>
      </c>
      <c r="B61" s="1" t="n">
        <v>45992.66811342593</v>
      </c>
      <c r="C61" s="1" t="n">
        <v>46032</v>
      </c>
      <c r="D61" t="inlineStr">
        <is>
          <t>VÄSTRA GÖTALANDS LÄN</t>
        </is>
      </c>
      <c r="E61" t="inlineStr">
        <is>
          <t>ORUST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46032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46032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46032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46032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13521-2025</t>
        </is>
      </c>
      <c r="B66" s="1" t="n">
        <v>45736.48755787037</v>
      </c>
      <c r="C66" s="1" t="n">
        <v>46032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13536-2025</t>
        </is>
      </c>
      <c r="B67" s="1" t="n">
        <v>45736.51413194444</v>
      </c>
      <c r="C67" s="1" t="n">
        <v>46032</v>
      </c>
      <c r="D67" t="inlineStr">
        <is>
          <t>VÄSTRA GÖTALANDS LÄN</t>
        </is>
      </c>
      <c r="E67" t="inlineStr">
        <is>
          <t>ORUST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46032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46032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46032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34046-2024</t>
        </is>
      </c>
      <c r="B71" s="1" t="n">
        <v>45523.60449074074</v>
      </c>
      <c r="C71" s="1" t="n">
        <v>46032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46032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46032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46032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46032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46032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46032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46032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46032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46032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46032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46032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46032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27277-2025</t>
        </is>
      </c>
      <c r="B84" s="1" t="n">
        <v>45812.52674768519</v>
      </c>
      <c r="C84" s="1" t="n">
        <v>46032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27555-2025</t>
        </is>
      </c>
      <c r="B85" s="1" t="n">
        <v>45813.47424768518</v>
      </c>
      <c r="C85" s="1" t="n">
        <v>46032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46032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63419-2023</t>
        </is>
      </c>
      <c r="B87" s="1" t="n">
        <v>45274</v>
      </c>
      <c r="C87" s="1" t="n">
        <v>46032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43752-2023</t>
        </is>
      </c>
      <c r="B88" s="1" t="n">
        <v>45187</v>
      </c>
      <c r="C88" s="1" t="n">
        <v>46032</v>
      </c>
      <c r="D88" t="inlineStr">
        <is>
          <t>VÄSTRA GÖTALANDS LÄN</t>
        </is>
      </c>
      <c r="E88" t="inlineStr">
        <is>
          <t>ORUST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46032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46032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46032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31617-2025</t>
        </is>
      </c>
      <c r="B92" s="1" t="n">
        <v>45833</v>
      </c>
      <c r="C92" s="1" t="n">
        <v>46032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47630-2025</t>
        </is>
      </c>
      <c r="B93" s="1" t="n">
        <v>45931.48855324074</v>
      </c>
      <c r="C93" s="1" t="n">
        <v>46032</v>
      </c>
      <c r="D93" t="inlineStr">
        <is>
          <t>VÄSTRA GÖTALANDS LÄN</t>
        </is>
      </c>
      <c r="E93" t="inlineStr">
        <is>
          <t>ORUST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47404-2025</t>
        </is>
      </c>
      <c r="B94" s="1" t="n">
        <v>45930.61149305556</v>
      </c>
      <c r="C94" s="1" t="n">
        <v>46032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46121-2025</t>
        </is>
      </c>
      <c r="B95" s="1" t="n">
        <v>45924</v>
      </c>
      <c r="C95" s="1" t="n">
        <v>46032</v>
      </c>
      <c r="D95" t="inlineStr">
        <is>
          <t>VÄSTRA GÖTALANDS LÄN</t>
        </is>
      </c>
      <c r="E95" t="inlineStr">
        <is>
          <t>ORUST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46032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46119-2025</t>
        </is>
      </c>
      <c r="B97" s="1" t="n">
        <v>45924</v>
      </c>
      <c r="C97" s="1" t="n">
        <v>46032</v>
      </c>
      <c r="D97" t="inlineStr">
        <is>
          <t>VÄSTRA GÖTALANDS LÄN</t>
        </is>
      </c>
      <c r="E97" t="inlineStr">
        <is>
          <t>ORUST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46032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46032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46032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49365-2025</t>
        </is>
      </c>
      <c r="B101" s="1" t="n">
        <v>45938.62341435185</v>
      </c>
      <c r="C101" s="1" t="n">
        <v>46032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46032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46032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71890-2021</t>
        </is>
      </c>
      <c r="B104" s="1" t="n">
        <v>44543.78116898148</v>
      </c>
      <c r="C104" s="1" t="n">
        <v>46032</v>
      </c>
      <c r="D104" t="inlineStr">
        <is>
          <t>VÄSTRA GÖTALANDS LÄN</t>
        </is>
      </c>
      <c r="E104" t="inlineStr">
        <is>
          <t>ORUST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6957-2024</t>
        </is>
      </c>
      <c r="B105" s="1" t="n">
        <v>45343.45112268518</v>
      </c>
      <c r="C105" s="1" t="n">
        <v>46032</v>
      </c>
      <c r="D105" t="inlineStr">
        <is>
          <t>VÄSTRA GÖTALANDS LÄN</t>
        </is>
      </c>
      <c r="E105" t="inlineStr">
        <is>
          <t>ORUST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51993-2022</t>
        </is>
      </c>
      <c r="B106" s="1" t="n">
        <v>44872</v>
      </c>
      <c r="C106" s="1" t="n">
        <v>46032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40270-2024</t>
        </is>
      </c>
      <c r="B107" s="1" t="n">
        <v>45554.64315972223</v>
      </c>
      <c r="C107" s="1" t="n">
        <v>46032</v>
      </c>
      <c r="D107" t="inlineStr">
        <is>
          <t>VÄSTRA GÖTALANDS LÄN</t>
        </is>
      </c>
      <c r="E107" t="inlineStr">
        <is>
          <t>ORUST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HYPERLINK("https://klasma.github.io/Logging_1421/knärot/A 40270-2024 karta knärot.png", "A 40270-2024")</f>
        <v/>
      </c>
      <c r="V107">
        <f>HYPERLINK("https://klasma.github.io/Logging_1421/klagomål/A 40270-2024 FSC-klagomål.docx", "A 40270-2024")</f>
        <v/>
      </c>
      <c r="W107">
        <f>HYPERLINK("https://klasma.github.io/Logging_1421/klagomålsmail/A 40270-2024 FSC-klagomål mail.docx", "A 40270-2024")</f>
        <v/>
      </c>
      <c r="X107">
        <f>HYPERLINK("https://klasma.github.io/Logging_1421/tillsyn/A 40270-2024 tillsynsbegäran.docx", "A 40270-2024")</f>
        <v/>
      </c>
      <c r="Y107">
        <f>HYPERLINK("https://klasma.github.io/Logging_1421/tillsynsmail/A 40270-2024 tillsynsbegäran mail.docx", "A 40270-2024")</f>
        <v/>
      </c>
    </row>
    <row r="108" ht="15" customHeight="1">
      <c r="A108" t="inlineStr">
        <is>
          <t>A 13378-2023</t>
        </is>
      </c>
      <c r="B108" s="1" t="n">
        <v>45005.50077546296</v>
      </c>
      <c r="C108" s="1" t="n">
        <v>46032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34502-2025</t>
        </is>
      </c>
      <c r="B109" s="1" t="n">
        <v>45847.43163194445</v>
      </c>
      <c r="C109" s="1" t="n">
        <v>46032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34500-2025</t>
        </is>
      </c>
      <c r="B110" s="1" t="n">
        <v>45847.43075231482</v>
      </c>
      <c r="C110" s="1" t="n">
        <v>46032</v>
      </c>
      <c r="D110" t="inlineStr">
        <is>
          <t>VÄSTRA GÖTALANDS LÄN</t>
        </is>
      </c>
      <c r="E110" t="inlineStr">
        <is>
          <t>ORUST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25925-2024</t>
        </is>
      </c>
      <c r="B111" s="1" t="n">
        <v>45467.6122337963</v>
      </c>
      <c r="C111" s="1" t="n">
        <v>46032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61319-2025</t>
        </is>
      </c>
      <c r="B112" s="1" t="n">
        <v>46000.94983796297</v>
      </c>
      <c r="C112" s="1" t="n">
        <v>46032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22452-2021</t>
        </is>
      </c>
      <c r="B113" s="1" t="n">
        <v>44326</v>
      </c>
      <c r="C113" s="1" t="n">
        <v>46032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61320-2025</t>
        </is>
      </c>
      <c r="B114" s="1" t="n">
        <v>46000.95591435185</v>
      </c>
      <c r="C114" s="1" t="n">
        <v>46032</v>
      </c>
      <c r="D114" t="inlineStr">
        <is>
          <t>VÄSTRA GÖTALANDS LÄN</t>
        </is>
      </c>
      <c r="E114" t="inlineStr">
        <is>
          <t>ORUST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46032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46032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36695-2025</t>
        </is>
      </c>
      <c r="B117" s="1" t="n">
        <v>45872</v>
      </c>
      <c r="C117" s="1" t="n">
        <v>46032</v>
      </c>
      <c r="D117" t="inlineStr">
        <is>
          <t>VÄSTRA GÖTALANDS LÄN</t>
        </is>
      </c>
      <c r="E117" t="inlineStr">
        <is>
          <t>ORUST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46032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46032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46032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46032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46032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46032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46032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20089-2025</t>
        </is>
      </c>
      <c r="B125" s="1" t="n">
        <v>45771</v>
      </c>
      <c r="C125" s="1" t="n">
        <v>46032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46032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46032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34380-2022</t>
        </is>
      </c>
      <c r="B128" s="1" t="n">
        <v>44792</v>
      </c>
      <c r="C128" s="1" t="n">
        <v>46032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56654-2025</t>
        </is>
      </c>
      <c r="B129" s="1" t="n">
        <v>45975.64869212963</v>
      </c>
      <c r="C129" s="1" t="n">
        <v>46032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13377-2023</t>
        </is>
      </c>
      <c r="B130" s="1" t="n">
        <v>45005.49668981481</v>
      </c>
      <c r="C130" s="1" t="n">
        <v>46032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46032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46032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46032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46032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58853-2025</t>
        </is>
      </c>
      <c r="B135" s="1" t="n">
        <v>45987.40476851852</v>
      </c>
      <c r="C135" s="1" t="n">
        <v>46032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58852-2025</t>
        </is>
      </c>
      <c r="B136" s="1" t="n">
        <v>45987.40355324074</v>
      </c>
      <c r="C136" s="1" t="n">
        <v>46032</v>
      </c>
      <c r="D136" t="inlineStr">
        <is>
          <t>VÄSTRA GÖTALANDS LÄN</t>
        </is>
      </c>
      <c r="E136" t="inlineStr">
        <is>
          <t>ORUST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50562-2024</t>
        </is>
      </c>
      <c r="B137" s="1" t="n">
        <v>45601.59825231481</v>
      </c>
      <c r="C137" s="1" t="n">
        <v>46032</v>
      </c>
      <c r="D137" t="inlineStr">
        <is>
          <t>VÄSTRA GÖTALANDS LÄN</t>
        </is>
      </c>
      <c r="E137" t="inlineStr">
        <is>
          <t>ORUST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20131-2025</t>
        </is>
      </c>
      <c r="B138" s="1" t="n">
        <v>45772.50918981482</v>
      </c>
      <c r="C138" s="1" t="n">
        <v>46032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5454-2025</t>
        </is>
      </c>
      <c r="B139" s="1" t="n">
        <v>45692.98011574074</v>
      </c>
      <c r="C139" s="1" t="n">
        <v>46032</v>
      </c>
      <c r="D139" t="inlineStr">
        <is>
          <t>VÄSTRA GÖTALANDS LÄN</t>
        </is>
      </c>
      <c r="E139" t="inlineStr">
        <is>
          <t>ORUST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46032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40722-2024</t>
        </is>
      </c>
      <c r="B141" s="1" t="n">
        <v>45558.44460648148</v>
      </c>
      <c r="C141" s="1" t="n">
        <v>46032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36404-2024</t>
        </is>
      </c>
      <c r="B142" s="1" t="n">
        <v>45535.70535879629</v>
      </c>
      <c r="C142" s="1" t="n">
        <v>46032</v>
      </c>
      <c r="D142" t="inlineStr">
        <is>
          <t>VÄSTRA GÖTALANDS LÄN</t>
        </is>
      </c>
      <c r="E142" t="inlineStr">
        <is>
          <t>ORUST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57445-2024</t>
        </is>
      </c>
      <c r="B143" s="1" t="n">
        <v>45629.92240740741</v>
      </c>
      <c r="C143" s="1" t="n">
        <v>46032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49822-2022</t>
        </is>
      </c>
      <c r="B144" s="1" t="n">
        <v>44862</v>
      </c>
      <c r="C144" s="1" t="n">
        <v>46032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45161.73658564815</v>
      </c>
      <c r="C145" s="1" t="n">
        <v>46032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40743-2024</t>
        </is>
      </c>
      <c r="B146" s="1" t="n">
        <v>45558.45</v>
      </c>
      <c r="C146" s="1" t="n">
        <v>46032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18954-2025</t>
        </is>
      </c>
      <c r="B147" s="1" t="n">
        <v>45764.51478009259</v>
      </c>
      <c r="C147" s="1" t="n">
        <v>46032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771-2023</t>
        </is>
      </c>
      <c r="B148" s="1" t="n">
        <v>44931</v>
      </c>
      <c r="C148" s="1" t="n">
        <v>46032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20819-2023</t>
        </is>
      </c>
      <c r="B149" s="1" t="n">
        <v>45058</v>
      </c>
      <c r="C149" s="1" t="n">
        <v>46032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46032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34354-2023</t>
        </is>
      </c>
      <c r="B151" s="1" t="n">
        <v>45139</v>
      </c>
      <c r="C151" s="1" t="n">
        <v>46032</v>
      </c>
      <c r="D151" t="inlineStr">
        <is>
          <t>VÄSTRA GÖTALANDS LÄN</t>
        </is>
      </c>
      <c r="E151" t="inlineStr">
        <is>
          <t>ORUST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37000-2023</t>
        </is>
      </c>
      <c r="B152" s="1" t="n">
        <v>45155.26925925926</v>
      </c>
      <c r="C152" s="1" t="n">
        <v>46032</v>
      </c>
      <c r="D152" t="inlineStr">
        <is>
          <t>VÄSTRA GÖTALANDS LÄN</t>
        </is>
      </c>
      <c r="E152" t="inlineStr">
        <is>
          <t>ORUST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6485-2024</t>
        </is>
      </c>
      <c r="B153" s="1" t="n">
        <v>45339.40619212963</v>
      </c>
      <c r="C153" s="1" t="n">
        <v>46032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45088-2021</t>
        </is>
      </c>
      <c r="B154" s="1" t="n">
        <v>44439.391875</v>
      </c>
      <c r="C154" s="1" t="n">
        <v>46032</v>
      </c>
      <c r="D154" t="inlineStr">
        <is>
          <t>VÄSTRA GÖTALANDS LÄN</t>
        </is>
      </c>
      <c r="E154" t="inlineStr">
        <is>
          <t>ORUST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46032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23682-2024</t>
        </is>
      </c>
      <c r="B156" s="1" t="n">
        <v>45454.62754629629</v>
      </c>
      <c r="C156" s="1" t="n">
        <v>46032</v>
      </c>
      <c r="D156" t="inlineStr">
        <is>
          <t>VÄSTRA GÖTALANDS LÄN</t>
        </is>
      </c>
      <c r="E156" t="inlineStr">
        <is>
          <t>ORUST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39206-2024</t>
        </is>
      </c>
      <c r="B157" s="1" t="n">
        <v>45548.81200231481</v>
      </c>
      <c r="C157" s="1" t="n">
        <v>46032</v>
      </c>
      <c r="D157" t="inlineStr">
        <is>
          <t>VÄSTRA GÖTALANDS LÄN</t>
        </is>
      </c>
      <c r="E157" t="inlineStr">
        <is>
          <t>ORUST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5715-2024</t>
        </is>
      </c>
      <c r="B158" s="1" t="n">
        <v>45334</v>
      </c>
      <c r="C158" s="1" t="n">
        <v>46032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45334.58319444444</v>
      </c>
      <c r="C159" s="1" t="n">
        <v>46032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34056-2024</t>
        </is>
      </c>
      <c r="B160" s="1" t="n">
        <v>45523.6125</v>
      </c>
      <c r="C160" s="1" t="n">
        <v>46032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6613-2021</t>
        </is>
      </c>
      <c r="B161" s="1" t="n">
        <v>44236</v>
      </c>
      <c r="C161" s="1" t="n">
        <v>46032</v>
      </c>
      <c r="D161" t="inlineStr">
        <is>
          <t>VÄSTRA GÖTALANDS LÄN</t>
        </is>
      </c>
      <c r="E161" t="inlineStr">
        <is>
          <t>ORUST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3750-2022</t>
        </is>
      </c>
      <c r="B162" s="1" t="n">
        <v>44586.71618055556</v>
      </c>
      <c r="C162" s="1" t="n">
        <v>46032</v>
      </c>
      <c r="D162" t="inlineStr">
        <is>
          <t>VÄSTRA GÖTALANDS LÄN</t>
        </is>
      </c>
      <c r="E162" t="inlineStr">
        <is>
          <t>ORUST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46032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23046-2024</t>
        </is>
      </c>
      <c r="B164" s="1" t="n">
        <v>45450.4240625</v>
      </c>
      <c r="C164" s="1" t="n">
        <v>46032</v>
      </c>
      <c r="D164" t="inlineStr">
        <is>
          <t>VÄSTRA GÖTALANDS LÄN</t>
        </is>
      </c>
      <c r="E164" t="inlineStr">
        <is>
          <t>ORUST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44233-2023</t>
        </is>
      </c>
      <c r="B165" s="1" t="n">
        <v>45183</v>
      </c>
      <c r="C165" s="1" t="n">
        <v>46032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44233-2023 karta knärot.png", "A 44233-2023")</f>
        <v/>
      </c>
      <c r="V165">
        <f>HYPERLINK("https://klasma.github.io/Logging_1421/klagomål/A 44233-2023 FSC-klagomål.docx", "A 44233-2023")</f>
        <v/>
      </c>
      <c r="W165">
        <f>HYPERLINK("https://klasma.github.io/Logging_1421/klagomålsmail/A 44233-2023 FSC-klagomål mail.docx", "A 44233-2023")</f>
        <v/>
      </c>
      <c r="X165">
        <f>HYPERLINK("https://klasma.github.io/Logging_1421/tillsyn/A 44233-2023 tillsynsbegäran.docx", "A 44233-2023")</f>
        <v/>
      </c>
      <c r="Y165">
        <f>HYPERLINK("https://klasma.github.io/Logging_1421/tillsynsmail/A 44233-2023 tillsynsbegäran mail.docx", "A 44233-2023")</f>
        <v/>
      </c>
    </row>
    <row r="166" ht="15" customHeight="1">
      <c r="A166" t="inlineStr">
        <is>
          <t>A 14547-2022</t>
        </is>
      </c>
      <c r="B166" s="1" t="n">
        <v>44655</v>
      </c>
      <c r="C166" s="1" t="n">
        <v>46032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18791-2023</t>
        </is>
      </c>
      <c r="B167" s="1" t="n">
        <v>45044</v>
      </c>
      <c r="C167" s="1" t="n">
        <v>46032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28109-2024</t>
        </is>
      </c>
      <c r="B168" s="1" t="n">
        <v>45476.63284722222</v>
      </c>
      <c r="C168" s="1" t="n">
        <v>46032</v>
      </c>
      <c r="D168" t="inlineStr">
        <is>
          <t>VÄSTRA GÖTALANDS LÄN</t>
        </is>
      </c>
      <c r="E168" t="inlineStr">
        <is>
          <t>ORUST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63626-2023</t>
        </is>
      </c>
      <c r="B169" s="1" t="n">
        <v>45275</v>
      </c>
      <c r="C169" s="1" t="n">
        <v>46032</v>
      </c>
      <c r="D169" t="inlineStr">
        <is>
          <t>VÄSTRA GÖTALANDS LÄN</t>
        </is>
      </c>
      <c r="E169" t="inlineStr">
        <is>
          <t>ORUST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32175-2024</t>
        </is>
      </c>
      <c r="B170" s="1" t="n">
        <v>45511.61238425926</v>
      </c>
      <c r="C170" s="1" t="n">
        <v>46032</v>
      </c>
      <c r="D170" t="inlineStr">
        <is>
          <t>VÄSTRA GÖTALANDS LÄN</t>
        </is>
      </c>
      <c r="E170" t="inlineStr">
        <is>
          <t>ORUST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34155-2024</t>
        </is>
      </c>
      <c r="B171" s="1" t="n">
        <v>45524.3860300926</v>
      </c>
      <c r="C171" s="1" t="n">
        <v>46032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46032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46708-2023</t>
        </is>
      </c>
      <c r="B173" s="1" t="n">
        <v>45198</v>
      </c>
      <c r="C173" s="1" t="n">
        <v>46032</v>
      </c>
      <c r="D173" t="inlineStr">
        <is>
          <t>VÄSTRA GÖTALANDS LÄN</t>
        </is>
      </c>
      <c r="E173" t="inlineStr">
        <is>
          <t>ORUST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62086-2022</t>
        </is>
      </c>
      <c r="B174" s="1" t="n">
        <v>44919.46138888889</v>
      </c>
      <c r="C174" s="1" t="n">
        <v>46032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49134-2021</t>
        </is>
      </c>
      <c r="B175" s="1" t="n">
        <v>44453</v>
      </c>
      <c r="C175" s="1" t="n">
        <v>46032</v>
      </c>
      <c r="D175" t="inlineStr">
        <is>
          <t>VÄSTRA GÖTALANDS LÄN</t>
        </is>
      </c>
      <c r="E175" t="inlineStr">
        <is>
          <t>ORUST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57878-2022</t>
        </is>
      </c>
      <c r="B176" s="1" t="n">
        <v>44899.875625</v>
      </c>
      <c r="C176" s="1" t="n">
        <v>46032</v>
      </c>
      <c r="D176" t="inlineStr">
        <is>
          <t>VÄSTRA GÖTALANDS LÄN</t>
        </is>
      </c>
      <c r="E176" t="inlineStr">
        <is>
          <t>ORUST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14802-2023</t>
        </is>
      </c>
      <c r="B177" s="1" t="n">
        <v>45014</v>
      </c>
      <c r="C177" s="1" t="n">
        <v>46032</v>
      </c>
      <c r="D177" t="inlineStr">
        <is>
          <t>VÄSTRA GÖTALANDS LÄN</t>
        </is>
      </c>
      <c r="E177" t="inlineStr">
        <is>
          <t>ORUST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2632-2024</t>
        </is>
      </c>
      <c r="B178" s="1" t="n">
        <v>45313.97175925926</v>
      </c>
      <c r="C178" s="1" t="n">
        <v>46032</v>
      </c>
      <c r="D178" t="inlineStr">
        <is>
          <t>VÄSTRA GÖTALANDS LÄN</t>
        </is>
      </c>
      <c r="E178" t="inlineStr">
        <is>
          <t>ORUST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46032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33454-2023</t>
        </is>
      </c>
      <c r="B180" s="1" t="n">
        <v>45130</v>
      </c>
      <c r="C180" s="1" t="n">
        <v>46032</v>
      </c>
      <c r="D180" t="inlineStr">
        <is>
          <t>VÄSTRA GÖTALANDS LÄN</t>
        </is>
      </c>
      <c r="E180" t="inlineStr">
        <is>
          <t>ORUST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2026-01-10T10:50:20Z</dcterms:created>
  <dcterms:modified xmlns:dcterms="http://purl.org/dc/terms/" xmlns:xsi="http://www.w3.org/2001/XMLSchema-instance" xsi:type="dcterms:W3CDTF">2026-01-10T10:50:20Z</dcterms:modified>
</cp:coreProperties>
</file>