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46286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46286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46286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46286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46286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46286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46286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46286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46286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46286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46286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49047-2025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45937</v>
      </c>
      <c r="E13" s="1" t="n">
        <v>46286</v>
      </c>
      <c r="F13" t="inlineStr">
        <is>
          <t>VÄSTRA GÖTALANDS LÄN</t>
        </is>
      </c>
      <c r="G13" t="inlineStr">
        <is>
          <t>ORUST</t>
        </is>
      </c>
      <c r="I13" t="n">
        <v>3.2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HYPERLINK("https://klasma.github.io/Logging_1421/artfynd/A 49047-2025 artfynd.xlsx", "A 49047-2025")</f>
        <v/>
      </c>
      <c r="X13">
        <f>HYPERLINK("https://klasma.github.io/Logging_1421/kartor/A 49047-2025 karta.png", "A 49047-2025")</f>
        <v/>
      </c>
      <c r="Y13">
        <f>HYPERLINK("https://klasma.github.io/Logging_1421/kartor_geotiff/A 49047-2025 georefererad karta.tif", "A 49047-2025")</f>
        <v/>
      </c>
      <c r="AA13">
        <f>HYPERLINK("https://klasma.github.io/Logging_1421/klagomål/A 49047-2025 FSC-klagomål.docx", "A 49047-2025")</f>
        <v/>
      </c>
      <c r="AB13">
        <f>HYPERLINK("https://klasma.github.io/Logging_1421/klagomålsmail/A 49047-2025 FSC-klagomål mail.docx", "A 49047-2025")</f>
        <v/>
      </c>
      <c r="AC13">
        <f>HYPERLINK("https://klasma.github.io/Logging_1421/tillsyn/A 49047-2025 tillsynsbegäran.docx", "A 49047-2025")</f>
        <v/>
      </c>
      <c r="AD13">
        <f>HYPERLINK("https://klasma.github.io/Logging_1421/tillsynsmail/A 49047-2025 tillsynsbegäran mail.docx", "A 49047-2025")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46286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46286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13220-2024 artfynd.xlsx", "A 13220-2024")</f>
        <v/>
      </c>
      <c r="X15">
        <f>HYPERLINK("https://klasma.github.io/Logging_1421/kartor/A 13220-2024 karta.png", "A 13220-2024")</f>
        <v/>
      </c>
      <c r="Y15">
        <f>HYPERLINK("https://klasma.github.io/Logging_1421/kartor_geotiff/A 13220-2024 georefererad karta.tif", "A 13220-2024")</f>
        <v/>
      </c>
      <c r="Z15">
        <f>HYPERLINK("https://klasma.github.io/Logging_1421/knärot/A 13220-2024 karta knärot.png", "A 13220-2024")</f>
        <v/>
      </c>
      <c r="AA15">
        <f>HYPERLINK("https://klasma.github.io/Logging_1421/klagomål/A 13220-2024 FSC-klagomål.docx", "A 13220-2024")</f>
        <v/>
      </c>
      <c r="AB15">
        <f>HYPERLINK("https://klasma.github.io/Logging_1421/klagomålsmail/A 13220-2024 FSC-klagomål mail.docx", "A 13220-2024")</f>
        <v/>
      </c>
      <c r="AC15">
        <f>HYPERLINK("https://klasma.github.io/Logging_1421/tillsyn/A 13220-2024 tillsynsbegäran.docx", "A 13220-2024")</f>
        <v/>
      </c>
      <c r="AD15">
        <f>HYPERLINK("https://klasma.github.io/Logging_1421/tillsynsmail/A 13220-2024 tillsynsbegäran mail.docx", "A 13220-2024")</f>
        <v/>
      </c>
    </row>
    <row r="16" ht="15" customHeight="1">
      <c r="A16" t="inlineStr">
        <is>
          <t>A 56035-2025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45973</v>
      </c>
      <c r="E16" s="1" t="n">
        <v>46286</v>
      </c>
      <c r="F16" t="inlineStr">
        <is>
          <t>VÄSTRA GÖTALANDS LÄN</t>
        </is>
      </c>
      <c r="G16" t="inlineStr">
        <is>
          <t>ORUST</t>
        </is>
      </c>
      <c r="I16" t="n">
        <v>15.9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0</v>
      </c>
      <c r="V16" s="2" t="inlineStr">
        <is>
          <t>Knärot</t>
        </is>
      </c>
      <c r="W16">
        <f>HYPERLINK("https://klasma.github.io/Logging_1421/artfynd/A 56035-2025 artfynd.xlsx", "A 56035-2025")</f>
        <v/>
      </c>
      <c r="X16">
        <f>HYPERLINK("https://klasma.github.io/Logging_1421/kartor/A 56035-2025 karta.png", "A 56035-2025")</f>
        <v/>
      </c>
      <c r="Y16">
        <f>HYPERLINK("https://klasma.github.io/Logging_1421/kartor_geotiff/A 56035-2025 georefererad karta.tif", "A 56035-2025")</f>
        <v/>
      </c>
      <c r="Z16">
        <f>HYPERLINK("https://klasma.github.io/Logging_1421/knärot/A 56035-2025 karta knärot.png", "A 56035-2025")</f>
        <v/>
      </c>
      <c r="AA16">
        <f>HYPERLINK("https://klasma.github.io/Logging_1421/klagomål/A 56035-2025 FSC-klagomål.docx", "A 56035-2025")</f>
        <v/>
      </c>
      <c r="AB16">
        <f>HYPERLINK("https://klasma.github.io/Logging_1421/klagomålsmail/A 56035-2025 FSC-klagomål mail.docx", "A 56035-2025")</f>
        <v/>
      </c>
      <c r="AC16">
        <f>HYPERLINK("https://klasma.github.io/Logging_1421/tillsyn/A 56035-2025 tillsynsbegäran.docx", "A 56035-2025")</f>
        <v/>
      </c>
      <c r="AD16">
        <f>HYPERLINK("https://klasma.github.io/Logging_1421/tillsynsmail/A 56035-2025 tillsynsbegäran mail.docx", "A 56035-2025")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46286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46286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12722-2026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46091</v>
      </c>
      <c r="E19" s="1" t="n">
        <v>46286</v>
      </c>
      <c r="F19" t="inlineStr">
        <is>
          <t>VÄSTRA GÖTALANDS LÄN</t>
        </is>
      </c>
      <c r="G19" t="inlineStr">
        <is>
          <t>ORUST</t>
        </is>
      </c>
      <c r="I19" t="n">
        <v>7.4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12722-2026 artfynd.xlsx", "A 12722-2026")</f>
        <v/>
      </c>
      <c r="X19">
        <f>HYPERLINK("https://klasma.github.io/Logging_1421/kartor/A 12722-2026 karta.png", "A 12722-2026")</f>
        <v/>
      </c>
      <c r="Y19">
        <f>HYPERLINK("https://klasma.github.io/Logging_1421/kartor_geotiff/A 12722-2026 georefererad karta.tif", "A 12722-2026")</f>
        <v/>
      </c>
      <c r="Z19">
        <f>HYPERLINK("https://klasma.github.io/Logging_1421/knärot/A 12722-2026 karta knärot.png", "A 12722-2026")</f>
        <v/>
      </c>
      <c r="AA19">
        <f>HYPERLINK("https://klasma.github.io/Logging_1421/klagomål/A 12722-2026 FSC-klagomål.docx", "A 12722-2026")</f>
        <v/>
      </c>
      <c r="AB19">
        <f>HYPERLINK("https://klasma.github.io/Logging_1421/klagomålsmail/A 12722-2026 FSC-klagomål mail.docx", "A 12722-2026")</f>
        <v/>
      </c>
      <c r="AC19">
        <f>HYPERLINK("https://klasma.github.io/Logging_1421/tillsyn/A 12722-2026 tillsynsbegäran.docx", "A 12722-2026")</f>
        <v/>
      </c>
      <c r="AD19">
        <f>HYPERLINK("https://klasma.github.io/Logging_1421/tillsynsmail/A 12722-2026 tillsynsbegäran mail.docx", "A 12722-2026")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46286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46286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5634-2025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46286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5634-2025 artfynd.xlsx", "A 5634-2025")</f>
        <v/>
      </c>
      <c r="X22">
        <f>HYPERLINK("https://klasma.github.io/Logging_1421/kartor/A 5634-2025 karta.png", "A 5634-2025")</f>
        <v/>
      </c>
      <c r="Y22">
        <f>HYPERLINK("https://klasma.github.io/Logging_1421/kartor_geotiff/A 5634-2025 georefererad karta.tif", "A 5634-2025")</f>
        <v/>
      </c>
      <c r="Z22">
        <f>HYPERLINK("https://klasma.github.io/Logging_1421/knärot/A 5634-2025 karta knärot.png", "A 5634-2025")</f>
        <v/>
      </c>
      <c r="AA22">
        <f>HYPERLINK("https://klasma.github.io/Logging_1421/klagomål/A 5634-2025 FSC-klagomål.docx", "A 5634-2025")</f>
        <v/>
      </c>
      <c r="AB22">
        <f>HYPERLINK("https://klasma.github.io/Logging_1421/klagomålsmail/A 5634-2025 FSC-klagomål mail.docx", "A 5634-2025")</f>
        <v/>
      </c>
      <c r="AC22">
        <f>HYPERLINK("https://klasma.github.io/Logging_1421/tillsyn/A 5634-2025 tillsynsbegäran.docx", "A 5634-2025")</f>
        <v/>
      </c>
      <c r="AD22">
        <f>HYPERLINK("https://klasma.github.io/Logging_1421/tillsynsmail/A 5634-2025 tillsynsbegäran mail.docx", "A 5634-2025")</f>
        <v/>
      </c>
    </row>
    <row r="23" ht="15" customHeight="1">
      <c r="A23" t="inlineStr">
        <is>
          <t>A 23921-2026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46286</v>
      </c>
      <c r="F23" t="inlineStr">
        <is>
          <t>VÄSTRA GÖTALANDS LÄN</t>
        </is>
      </c>
      <c r="G23" t="inlineStr">
        <is>
          <t>ORUST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Västlig hakmossa</t>
        </is>
      </c>
      <c r="W23">
        <f>HYPERLINK("https://klasma.github.io/Logging_1421/artfynd/A 23921-2026 artfynd.xlsx", "A 23921-2026")</f>
        <v/>
      </c>
      <c r="X23">
        <f>HYPERLINK("https://klasma.github.io/Logging_1421/kartor/A 23921-2026 karta.png", "A 23921-2026")</f>
        <v/>
      </c>
      <c r="Y23">
        <f>HYPERLINK("https://klasma.github.io/Logging_1421/kartor_geotiff/A 23921-2026 georefererad karta.tif", "A 23921-2026")</f>
        <v/>
      </c>
      <c r="AA23">
        <f>HYPERLINK("https://klasma.github.io/Logging_1421/klagomål/A 23921-2026 FSC-klagomål.docx", "A 23921-2026")</f>
        <v/>
      </c>
      <c r="AB23">
        <f>HYPERLINK("https://klasma.github.io/Logging_1421/klagomålsmail/A 23921-2026 FSC-klagomål mail.docx", "A 23921-2026")</f>
        <v/>
      </c>
      <c r="AC23">
        <f>HYPERLINK("https://klasma.github.io/Logging_1421/tillsyn/A 23921-2026 tillsynsbegäran.docx", "A 23921-2026")</f>
        <v/>
      </c>
      <c r="AD23">
        <f>HYPERLINK("https://klasma.github.io/Logging_1421/tillsynsmail/A 23921-2026 tillsynsbegäran mail.docx", "A 23921-2026")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46286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46286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41056-2025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46286</v>
      </c>
      <c r="F26" t="inlineStr">
        <is>
          <t>VÄSTRA GÖTALANDS LÄN</t>
        </is>
      </c>
      <c r="G26" t="inlineStr">
        <is>
          <t>ORUST</t>
        </is>
      </c>
      <c r="I26" t="n">
        <v>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HYPERLINK("https://klasma.github.io/Logging_1421/artfynd/A 41056-2025 artfynd.xlsx", "A 41056-2025")</f>
        <v/>
      </c>
      <c r="X26">
        <f>HYPERLINK("https://klasma.github.io/Logging_1421/kartor/A 41056-2025 karta.png", "A 41056-2025")</f>
        <v/>
      </c>
      <c r="Y26">
        <f>HYPERLINK("https://klasma.github.io/Logging_1421/kartor_geotiff/A 41056-2025 georefererad karta.tif", "A 41056-2025")</f>
        <v/>
      </c>
      <c r="AA26">
        <f>HYPERLINK("https://klasma.github.io/Logging_1421/klagomål/A 41056-2025 FSC-klagomål.docx", "A 41056-2025")</f>
        <v/>
      </c>
      <c r="AB26">
        <f>HYPERLINK("https://klasma.github.io/Logging_1421/klagomålsmail/A 41056-2025 FSC-klagomål mail.docx", "A 41056-2025")</f>
        <v/>
      </c>
      <c r="AC26">
        <f>HYPERLINK("https://klasma.github.io/Logging_1421/tillsyn/A 41056-2025 tillsynsbegäran.docx", "A 41056-2025")</f>
        <v/>
      </c>
      <c r="AD26">
        <f>HYPERLINK("https://klasma.github.io/Logging_1421/tillsynsmail/A 41056-2025 tillsynsbegäran mail.docx", "A 41056-2025")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46286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46286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46286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46286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46286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46286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46286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46286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46286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46286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46286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46286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46286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46286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46286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46286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46286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46286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46286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46286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46286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44888</v>
      </c>
      <c r="E48" s="1" t="n">
        <v>46286</v>
      </c>
      <c r="F48" t="inlineStr">
        <is>
          <t>VÄSTRA GÖTALANDS LÄN</t>
        </is>
      </c>
      <c r="G48" t="inlineStr">
        <is>
          <t>ORUST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46286</v>
      </c>
      <c r="F49" t="inlineStr">
        <is>
          <t>VÄSTRA GÖTALANDS LÄN</t>
        </is>
      </c>
      <c r="G49" t="inlineStr">
        <is>
          <t>ORUST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43752-2023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46286</v>
      </c>
      <c r="F50" t="inlineStr">
        <is>
          <t>VÄSTRA GÖTALANDS LÄN</t>
        </is>
      </c>
      <c r="G50" t="inlineStr">
        <is>
          <t>ORUST</t>
        </is>
      </c>
      <c r="I50" t="n">
        <v>9.300000000000001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46286</v>
      </c>
      <c r="F51" t="inlineStr">
        <is>
          <t>VÄSTRA GÖTALANDS LÄN</t>
        </is>
      </c>
      <c r="G51" t="inlineStr">
        <is>
          <t>ORUST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46286</v>
      </c>
      <c r="F52" t="inlineStr">
        <is>
          <t>VÄSTRA GÖTALANDS LÄN</t>
        </is>
      </c>
      <c r="G52" t="inlineStr">
        <is>
          <t>ORUST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46286</v>
      </c>
      <c r="F53" t="inlineStr">
        <is>
          <t>VÄSTRA GÖTALANDS LÄN</t>
        </is>
      </c>
      <c r="G53" t="inlineStr">
        <is>
          <t>ORUST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45005</v>
      </c>
      <c r="E54" s="1" t="n">
        <v>46286</v>
      </c>
      <c r="F54" t="inlineStr">
        <is>
          <t>VÄSTRA GÖTALANDS LÄN</t>
        </is>
      </c>
      <c r="G54" t="inlineStr">
        <is>
          <t>ORUST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46286</v>
      </c>
      <c r="F55" t="inlineStr">
        <is>
          <t>VÄSTRA GÖTALANDS LÄN</t>
        </is>
      </c>
      <c r="G55" t="inlineStr">
        <is>
          <t>ORUST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25925-2024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45467</v>
      </c>
      <c r="E56" s="1" t="n">
        <v>46286</v>
      </c>
      <c r="F56" t="inlineStr">
        <is>
          <t>VÄSTRA GÖTALANDS LÄN</t>
        </is>
      </c>
      <c r="G56" t="inlineStr">
        <is>
          <t>ORUST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62516-2022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44924</v>
      </c>
      <c r="E57" s="1" t="n">
        <v>46286</v>
      </c>
      <c r="F57" t="inlineStr">
        <is>
          <t>VÄSTRA GÖTALANDS LÄN</t>
        </is>
      </c>
      <c r="G57" t="inlineStr">
        <is>
          <t>ORUST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46286</v>
      </c>
      <c r="F58" t="inlineStr">
        <is>
          <t>VÄSTRA GÖTALANDS LÄN</t>
        </is>
      </c>
      <c r="G58" t="inlineStr">
        <is>
          <t>ORUST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34500-2025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46286</v>
      </c>
      <c r="F59" t="inlineStr">
        <is>
          <t>VÄSTRA GÖTALANDS LÄN</t>
        </is>
      </c>
      <c r="G59" t="inlineStr">
        <is>
          <t>ORUST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45336</v>
      </c>
      <c r="E60" s="1" t="n">
        <v>46286</v>
      </c>
      <c r="F60" t="inlineStr">
        <is>
          <t>VÄSTRA GÖTALANDS LÄN</t>
        </is>
      </c>
      <c r="G60" t="inlineStr">
        <is>
          <t>ORUST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46286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46286</v>
      </c>
      <c r="F62" t="inlineStr">
        <is>
          <t>VÄSTRA GÖTALANDS LÄN</t>
        </is>
      </c>
      <c r="G62" t="inlineStr">
        <is>
          <t>ORUST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20089-2025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45771</v>
      </c>
      <c r="E63" s="1" t="n">
        <v>46286</v>
      </c>
      <c r="F63" t="inlineStr">
        <is>
          <t>VÄSTRA GÖTALANDS LÄN</t>
        </is>
      </c>
      <c r="G63" t="inlineStr">
        <is>
          <t>ORUST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46286</v>
      </c>
      <c r="F64" t="inlineStr">
        <is>
          <t>VÄSTRA GÖTALANDS LÄN</t>
        </is>
      </c>
      <c r="G64" t="inlineStr">
        <is>
          <t>ORUST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45588</v>
      </c>
      <c r="E65" s="1" t="n">
        <v>46286</v>
      </c>
      <c r="F65" t="inlineStr">
        <is>
          <t>VÄSTRA GÖTALANDS LÄN</t>
        </is>
      </c>
      <c r="G65" t="inlineStr">
        <is>
          <t>ORUST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41881-2025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46286</v>
      </c>
      <c r="F66" t="inlineStr">
        <is>
          <t>VÄSTRA GÖTALANDS LÄN</t>
        </is>
      </c>
      <c r="G66" t="inlineStr">
        <is>
          <t>ORUST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46286</v>
      </c>
      <c r="F67" t="inlineStr">
        <is>
          <t>VÄSTRA GÖTALANDS LÄN</t>
        </is>
      </c>
      <c r="G67" t="inlineStr">
        <is>
          <t>ORUST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33296-2025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46286</v>
      </c>
      <c r="F68" t="inlineStr">
        <is>
          <t>VÄSTRA GÖTALANDS LÄN</t>
        </is>
      </c>
      <c r="G68" t="inlineStr">
        <is>
          <t>ORUST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44480</v>
      </c>
      <c r="E69" s="1" t="n">
        <v>46286</v>
      </c>
      <c r="F69" t="inlineStr">
        <is>
          <t>VÄSTRA GÖTALANDS LÄN</t>
        </is>
      </c>
      <c r="G69" t="inlineStr">
        <is>
          <t>ORUST</t>
        </is>
      </c>
      <c r="I69" t="n">
        <v>10.3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46286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68727-2021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46286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46286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46141</v>
      </c>
      <c r="E73" s="1" t="n">
        <v>46286</v>
      </c>
      <c r="F73" t="inlineStr">
        <is>
          <t>VÄSTRA GÖTALANDS LÄN</t>
        </is>
      </c>
      <c r="G73" t="inlineStr">
        <is>
          <t>ORUST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44792</v>
      </c>
      <c r="E74" s="1" t="n">
        <v>46286</v>
      </c>
      <c r="F74" t="inlineStr">
        <is>
          <t>VÄSTRA GÖTALANDS LÄN</t>
        </is>
      </c>
      <c r="G74" t="inlineStr">
        <is>
          <t>ORUST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45964</v>
      </c>
      <c r="E75" s="1" t="n">
        <v>46286</v>
      </c>
      <c r="F75" t="inlineStr">
        <is>
          <t>VÄSTRA GÖTALANDS LÄN</t>
        </is>
      </c>
      <c r="G75" t="inlineStr">
        <is>
          <t>ORUST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46286</v>
      </c>
      <c r="F76" t="inlineStr">
        <is>
          <t>VÄSTRA GÖTALANDS LÄN</t>
        </is>
      </c>
      <c r="G76" t="inlineStr">
        <is>
          <t>ORUST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46286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45641</v>
      </c>
      <c r="E78" s="1" t="n">
        <v>46286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46286</v>
      </c>
      <c r="F79" t="inlineStr">
        <is>
          <t>VÄSTRA GÖTALANDS LÄN</t>
        </is>
      </c>
      <c r="G79" t="inlineStr">
        <is>
          <t>ORUST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46286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45181</v>
      </c>
      <c r="E81" s="1" t="n">
        <v>46286</v>
      </c>
      <c r="F81" t="inlineStr">
        <is>
          <t>VÄSTRA GÖTALANDS LÄN</t>
        </is>
      </c>
      <c r="G81" t="inlineStr">
        <is>
          <t>ORUST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46286</v>
      </c>
      <c r="F82" t="inlineStr">
        <is>
          <t>VÄSTRA GÖTALANDS LÄN</t>
        </is>
      </c>
      <c r="G82" t="inlineStr">
        <is>
          <t>ORUST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45772</v>
      </c>
      <c r="E83" s="1" t="n">
        <v>46286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45692</v>
      </c>
      <c r="E84" s="1" t="n">
        <v>46286</v>
      </c>
      <c r="F84" t="inlineStr">
        <is>
          <t>VÄSTRA GÖTALANDS LÄN</t>
        </is>
      </c>
      <c r="G84" t="inlineStr">
        <is>
          <t>ORUST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46286</v>
      </c>
      <c r="F85" t="inlineStr">
        <is>
          <t>VÄSTRA GÖTALANDS LÄN</t>
        </is>
      </c>
      <c r="G85" t="inlineStr">
        <is>
          <t>ORUST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45535</v>
      </c>
      <c r="E86" s="1" t="n">
        <v>46286</v>
      </c>
      <c r="F86" t="inlineStr">
        <is>
          <t>VÄSTRA GÖTALANDS LÄN</t>
        </is>
      </c>
      <c r="G86" t="inlineStr">
        <is>
          <t>ORUST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46286</v>
      </c>
      <c r="F87" t="inlineStr">
        <is>
          <t>VÄSTRA GÖTALANDS LÄN</t>
        </is>
      </c>
      <c r="G87" t="inlineStr">
        <is>
          <t>ORUST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46286</v>
      </c>
      <c r="F88" t="inlineStr">
        <is>
          <t>VÄSTRA GÖTALANDS LÄN</t>
        </is>
      </c>
      <c r="G88" t="inlineStr">
        <is>
          <t>ORUST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46286</v>
      </c>
      <c r="F89" t="inlineStr">
        <is>
          <t>VÄSTRA GÖTALANDS LÄN</t>
        </is>
      </c>
      <c r="G89" t="inlineStr">
        <is>
          <t>ORUST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45396</v>
      </c>
      <c r="E90" s="1" t="n">
        <v>46286</v>
      </c>
      <c r="F90" t="inlineStr">
        <is>
          <t>VÄSTRA GÖTALANDS LÄN</t>
        </is>
      </c>
      <c r="G90" t="inlineStr">
        <is>
          <t>ORUST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46286</v>
      </c>
      <c r="F91" t="inlineStr">
        <is>
          <t>VÄSTRA GÖTALANDS LÄN</t>
        </is>
      </c>
      <c r="G91" t="inlineStr">
        <is>
          <t>ORUST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46286</v>
      </c>
      <c r="F92" t="inlineStr">
        <is>
          <t>VÄSTRA GÖTALANDS LÄN</t>
        </is>
      </c>
      <c r="G92" t="inlineStr">
        <is>
          <t>ORUST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46000</v>
      </c>
      <c r="E93" s="1" t="n">
        <v>46286</v>
      </c>
      <c r="F93" t="inlineStr">
        <is>
          <t>VÄSTRA GÖTALANDS LÄN</t>
        </is>
      </c>
      <c r="G93" t="inlineStr">
        <is>
          <t>ORUST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45161</v>
      </c>
      <c r="E94" s="1" t="n">
        <v>46286</v>
      </c>
      <c r="F94" t="inlineStr">
        <is>
          <t>VÄSTRA GÖTALANDS LÄN</t>
        </is>
      </c>
      <c r="G94" t="inlineStr">
        <is>
          <t>ORUST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46286</v>
      </c>
      <c r="F95" t="inlineStr">
        <is>
          <t>VÄSTRA GÖTALANDS LÄN</t>
        </is>
      </c>
      <c r="G95" t="inlineStr">
        <is>
          <t>ORUST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24605-2026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46170</v>
      </c>
      <c r="E96" s="1" t="n">
        <v>46286</v>
      </c>
      <c r="F96" t="inlineStr">
        <is>
          <t>VÄSTRA GÖTALANDS LÄN</t>
        </is>
      </c>
      <c r="G96" t="inlineStr">
        <is>
          <t>ORUST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46286</v>
      </c>
      <c r="F97" t="inlineStr">
        <is>
          <t>VÄSTRA GÖTALANDS LÄN</t>
        </is>
      </c>
      <c r="G97" t="inlineStr">
        <is>
          <t>ORUST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46036</v>
      </c>
      <c r="E98" s="1" t="n">
        <v>46286</v>
      </c>
      <c r="F98" t="inlineStr">
        <is>
          <t>VÄSTRA GÖTALANDS LÄN</t>
        </is>
      </c>
      <c r="G98" t="inlineStr">
        <is>
          <t>ORUST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46286</v>
      </c>
      <c r="F99" t="inlineStr">
        <is>
          <t>VÄSTRA GÖTALANDS LÄN</t>
        </is>
      </c>
      <c r="G99" t="inlineStr">
        <is>
          <t>ORUST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46286</v>
      </c>
      <c r="F100" t="inlineStr">
        <is>
          <t>VÄSTRA GÖTALANDS LÄN</t>
        </is>
      </c>
      <c r="G100" t="inlineStr">
        <is>
          <t>ORUST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45058</v>
      </c>
      <c r="E101" s="1" t="n">
        <v>46286</v>
      </c>
      <c r="F101" t="inlineStr">
        <is>
          <t>VÄSTRA GÖTALANDS LÄN</t>
        </is>
      </c>
      <c r="G101" t="inlineStr">
        <is>
          <t>ORUST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25123-2026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46175</v>
      </c>
      <c r="E102" s="1" t="n">
        <v>46286</v>
      </c>
      <c r="F102" t="inlineStr">
        <is>
          <t>VÄSTRA GÖTALANDS LÄN</t>
        </is>
      </c>
      <c r="G102" t="inlineStr">
        <is>
          <t>ORUST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46286</v>
      </c>
      <c r="F103" t="inlineStr">
        <is>
          <t>VÄSTRA GÖTALANDS LÄN</t>
        </is>
      </c>
      <c r="G103" t="inlineStr">
        <is>
          <t>ORUST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46286</v>
      </c>
      <c r="F104" t="inlineStr">
        <is>
          <t>VÄSTRA GÖTALANDS LÄN</t>
        </is>
      </c>
      <c r="G104" t="inlineStr">
        <is>
          <t>ORUST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46286</v>
      </c>
      <c r="F105" t="inlineStr">
        <is>
          <t>VÄSTRA GÖTALANDS LÄN</t>
        </is>
      </c>
      <c r="G105" t="inlineStr">
        <is>
          <t>ORUST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46065</v>
      </c>
      <c r="E106" s="1" t="n">
        <v>46286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46286</v>
      </c>
      <c r="F107" t="inlineStr">
        <is>
          <t>VÄSTRA GÖTALANDS LÄN</t>
        </is>
      </c>
      <c r="G107" t="inlineStr">
        <is>
          <t>ORUST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9194-2026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46286</v>
      </c>
      <c r="F108" t="inlineStr">
        <is>
          <t>VÄSTRA GÖTALANDS LÄN</t>
        </is>
      </c>
      <c r="G108" t="inlineStr">
        <is>
          <t>ORUST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9344-2026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46286</v>
      </c>
      <c r="F109" t="inlineStr">
        <is>
          <t>VÄSTRA GÖTALANDS LÄN</t>
        </is>
      </c>
      <c r="G109" t="inlineStr">
        <is>
          <t>ORUST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45339</v>
      </c>
      <c r="E110" s="1" t="n">
        <v>46286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46075</v>
      </c>
      <c r="E111" s="1" t="n">
        <v>46286</v>
      </c>
      <c r="F111" t="inlineStr">
        <is>
          <t>VÄSTRA GÖTALANDS LÄN</t>
        </is>
      </c>
      <c r="G111" t="inlineStr">
        <is>
          <t>ORUST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46286</v>
      </c>
      <c r="F112" t="inlineStr">
        <is>
          <t>VÄSTRA GÖTALANDS LÄN</t>
        </is>
      </c>
      <c r="G112" t="inlineStr">
        <is>
          <t>ORUST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46086</v>
      </c>
      <c r="E113" s="1" t="n">
        <v>46286</v>
      </c>
      <c r="F113" t="inlineStr">
        <is>
          <t>VÄSTRA GÖTALANDS LÄN</t>
        </is>
      </c>
      <c r="G113" t="inlineStr">
        <is>
          <t>ORUST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46286</v>
      </c>
      <c r="F114" t="inlineStr">
        <is>
          <t>VÄSTRA GÖTALANDS LÄN</t>
        </is>
      </c>
      <c r="G114" t="inlineStr">
        <is>
          <t>ORUST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46286</v>
      </c>
      <c r="F115" t="inlineStr">
        <is>
          <t>VÄSTRA GÖTALANDS LÄN</t>
        </is>
      </c>
      <c r="G115" t="inlineStr">
        <is>
          <t>ORUST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46286</v>
      </c>
      <c r="F116" t="inlineStr">
        <is>
          <t>VÄSTRA GÖTALANDS LÄN</t>
        </is>
      </c>
      <c r="G116" t="inlineStr">
        <is>
          <t>ORUST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46286</v>
      </c>
      <c r="F117" t="inlineStr">
        <is>
          <t>VÄSTRA GÖTALANDS LÄN</t>
        </is>
      </c>
      <c r="G117" t="inlineStr">
        <is>
          <t>ORUST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45523</v>
      </c>
      <c r="E118" s="1" t="n">
        <v>46286</v>
      </c>
      <c r="F118" t="inlineStr">
        <is>
          <t>VÄSTRA GÖTALANDS LÄN</t>
        </is>
      </c>
      <c r="G118" t="inlineStr">
        <is>
          <t>ORUST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46127</v>
      </c>
      <c r="E119" s="1" t="n">
        <v>46286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44655</v>
      </c>
      <c r="E120" s="1" t="n">
        <v>46286</v>
      </c>
      <c r="F120" t="inlineStr">
        <is>
          <t>VÄSTRA GÖTALANDS LÄN</t>
        </is>
      </c>
      <c r="G120" t="inlineStr">
        <is>
          <t>ORUST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46286</v>
      </c>
      <c r="F121" t="inlineStr">
        <is>
          <t>VÄSTRA GÖTALANDS LÄN</t>
        </is>
      </c>
      <c r="G121" t="inlineStr">
        <is>
          <t>ORUST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45476</v>
      </c>
      <c r="E122" s="1" t="n">
        <v>46286</v>
      </c>
      <c r="F122" t="inlineStr">
        <is>
          <t>VÄSTRA GÖTALANDS LÄN</t>
        </is>
      </c>
      <c r="G122" t="inlineStr">
        <is>
          <t>ORUST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33789-2026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46286</v>
      </c>
      <c r="F123" t="inlineStr">
        <is>
          <t>VÄSTRA GÖTALANDS LÄN</t>
        </is>
      </c>
      <c r="G123" t="inlineStr">
        <is>
          <t>ORUST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46286</v>
      </c>
      <c r="F124" t="inlineStr">
        <is>
          <t>VÄSTRA GÖTALANDS LÄN</t>
        </is>
      </c>
      <c r="G124" t="inlineStr">
        <is>
          <t>ORUST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32175-2024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45511</v>
      </c>
      <c r="E125" s="1" t="n">
        <v>46286</v>
      </c>
      <c r="F125" t="inlineStr">
        <is>
          <t>VÄSTRA GÖTALANDS LÄN</t>
        </is>
      </c>
      <c r="G125" t="inlineStr">
        <is>
          <t>ORUST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46286</v>
      </c>
      <c r="F126" t="inlineStr">
        <is>
          <t>VÄSTRA GÖTALANDS LÄN</t>
        </is>
      </c>
      <c r="G126" t="inlineStr">
        <is>
          <t>ORUST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46286</v>
      </c>
      <c r="F127" t="inlineStr">
        <is>
          <t>VÄSTRA GÖTALANDS LÄN</t>
        </is>
      </c>
      <c r="G127" t="inlineStr">
        <is>
          <t>ORUST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44919</v>
      </c>
      <c r="E128" s="1" t="n">
        <v>46286</v>
      </c>
      <c r="F128" t="inlineStr">
        <is>
          <t>VÄSTRA GÖTALANDS LÄN</t>
        </is>
      </c>
      <c r="G128" t="inlineStr">
        <is>
          <t>ORUST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46213</v>
      </c>
      <c r="E129" s="1" t="n">
        <v>46286</v>
      </c>
      <c r="F129" t="inlineStr">
        <is>
          <t>VÄSTRA GÖTALANDS LÄN</t>
        </is>
      </c>
      <c r="G129" t="inlineStr">
        <is>
          <t>ORUST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44899</v>
      </c>
      <c r="E130" s="1" t="n">
        <v>46286</v>
      </c>
      <c r="F130" t="inlineStr">
        <is>
          <t>VÄSTRA GÖTALANDS LÄN</t>
        </is>
      </c>
      <c r="G130" t="inlineStr">
        <is>
          <t>ORUST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45014</v>
      </c>
      <c r="E131" s="1" t="n">
        <v>46286</v>
      </c>
      <c r="F131" t="inlineStr">
        <is>
          <t>VÄSTRA GÖTALANDS LÄN</t>
        </is>
      </c>
      <c r="G131" t="inlineStr">
        <is>
          <t>ORUST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45313</v>
      </c>
      <c r="E132" s="1" t="n">
        <v>46286</v>
      </c>
      <c r="F132" t="inlineStr">
        <is>
          <t>VÄSTRA GÖTALANDS LÄN</t>
        </is>
      </c>
      <c r="G132" t="inlineStr">
        <is>
          <t>ORUST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45130</v>
      </c>
      <c r="E133" s="1" t="n">
        <v>46286</v>
      </c>
      <c r="F133" t="inlineStr">
        <is>
          <t>VÄSTRA GÖTALANDS LÄN</t>
        </is>
      </c>
      <c r="G133" t="inlineStr">
        <is>
          <t>ORUST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36428-2026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46269</v>
      </c>
      <c r="E134" s="1" t="n">
        <v>46286</v>
      </c>
      <c r="F134" t="inlineStr">
        <is>
          <t>VÄSTRA GÖTALANDS LÄN</t>
        </is>
      </c>
      <c r="G134" t="inlineStr">
        <is>
          <t>ORUST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45790</v>
      </c>
      <c r="E135" s="1" t="n">
        <v>46286</v>
      </c>
      <c r="F135" t="inlineStr">
        <is>
          <t>VÄSTRA GÖTALANDS LÄN</t>
        </is>
      </c>
      <c r="G135" t="inlineStr">
        <is>
          <t>ORUST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46280</v>
      </c>
      <c r="E136" s="1" t="n">
        <v>46286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45742</v>
      </c>
      <c r="E137" s="1" t="n">
        <v>46286</v>
      </c>
      <c r="F137" t="inlineStr">
        <is>
          <t>VÄSTRA GÖTALANDS LÄN</t>
        </is>
      </c>
      <c r="G137" t="inlineStr">
        <is>
          <t>ORUST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45718</v>
      </c>
      <c r="E138" s="1" t="n">
        <v>46286</v>
      </c>
      <c r="F138" t="inlineStr">
        <is>
          <t>VÄSTRA GÖTALANDS LÄN</t>
        </is>
      </c>
      <c r="G138" t="inlineStr">
        <is>
          <t>ORUST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46286</v>
      </c>
      <c r="F139" t="inlineStr">
        <is>
          <t>VÄSTRA GÖTALANDS LÄN</t>
        </is>
      </c>
      <c r="G139" t="inlineStr">
        <is>
          <t>ORUST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46286</v>
      </c>
      <c r="F140" t="inlineStr">
        <is>
          <t>VÄSTRA GÖTALANDS LÄN</t>
        </is>
      </c>
      <c r="G140" t="inlineStr">
        <is>
          <t>ORUST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45797</v>
      </c>
      <c r="E141" s="1" t="n">
        <v>46286</v>
      </c>
      <c r="F141" t="inlineStr">
        <is>
          <t>VÄSTRA GÖTALANDS LÄN</t>
        </is>
      </c>
      <c r="G141" t="inlineStr">
        <is>
          <t>ORUST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45523</v>
      </c>
      <c r="E142" s="1" t="n">
        <v>46286</v>
      </c>
      <c r="F142" t="inlineStr">
        <is>
          <t>VÄSTRA GÖTALANDS LÄN</t>
        </is>
      </c>
      <c r="G142" t="inlineStr">
        <is>
          <t>ORUST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46286</v>
      </c>
      <c r="F143" t="inlineStr">
        <is>
          <t>VÄSTRA GÖTALANDS LÄN</t>
        </is>
      </c>
      <c r="G143" t="inlineStr">
        <is>
          <t>ORUST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45573</v>
      </c>
      <c r="E144" s="1" t="n">
        <v>46286</v>
      </c>
      <c r="F144" t="inlineStr">
        <is>
          <t>VÄSTRA GÖTALANDS LÄN</t>
        </is>
      </c>
      <c r="G144" t="inlineStr">
        <is>
          <t>ORUST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45813</v>
      </c>
      <c r="E145" s="1" t="n">
        <v>46286</v>
      </c>
      <c r="F145" t="inlineStr">
        <is>
          <t>VÄSTRA GÖTALANDS LÄN</t>
        </is>
      </c>
      <c r="G145" t="inlineStr">
        <is>
          <t>ORUST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45616</v>
      </c>
      <c r="E146" s="1" t="n">
        <v>46286</v>
      </c>
      <c r="F146" t="inlineStr">
        <is>
          <t>VÄSTRA GÖTALANDS LÄN</t>
        </is>
      </c>
      <c r="G146" t="inlineStr">
        <is>
          <t>ORUST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46286</v>
      </c>
      <c r="F147" t="inlineStr">
        <is>
          <t>VÄSTRA GÖTALANDS LÄN</t>
        </is>
      </c>
      <c r="G147" t="inlineStr">
        <is>
          <t>ORUST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46286</v>
      </c>
      <c r="F148" t="inlineStr">
        <is>
          <t>VÄSTRA GÖTALANDS LÄN</t>
        </is>
      </c>
      <c r="G148" t="inlineStr">
        <is>
          <t>ORUST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46286</v>
      </c>
      <c r="F149" t="inlineStr">
        <is>
          <t>VÄSTRA GÖTALANDS LÄN</t>
        </is>
      </c>
      <c r="G149" t="inlineStr">
        <is>
          <t>ORUST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45847</v>
      </c>
      <c r="E150" s="1" t="n">
        <v>46286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45872</v>
      </c>
      <c r="E151" s="1" t="n">
        <v>46286</v>
      </c>
      <c r="F151" t="inlineStr">
        <is>
          <t>VÄSTRA GÖTALANDS LÄN</t>
        </is>
      </c>
      <c r="G151" t="inlineStr">
        <is>
          <t>ORUST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46286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45667</v>
      </c>
      <c r="E153" s="1" t="n">
        <v>46286</v>
      </c>
      <c r="F153" t="inlineStr">
        <is>
          <t>VÄSTRA GÖTALANDS LÄN</t>
        </is>
      </c>
      <c r="G153" t="inlineStr">
        <is>
          <t>ORUST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46286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2026-09-21T02:00:22Z</dcterms:created>
  <dcterms:modified xmlns:dcterms="http://purl.org/dc/terms/" xmlns:xsi="http://www.w3.org/2001/XMLSchema-instance" xsi:type="dcterms:W3CDTF">2026-09-21T02:00:22Z</dcterms:modified>
</cp:coreProperties>
</file>