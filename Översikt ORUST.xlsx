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46312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46312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46312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46312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46312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46312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46312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46312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40270-2024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46312</v>
      </c>
      <c r="F10" t="inlineStr">
        <is>
          <t>VÄSTRA GÖTALANDS LÄN</t>
        </is>
      </c>
      <c r="G10" t="inlineStr">
        <is>
          <t>ORUST</t>
        </is>
      </c>
      <c r="I10" t="n">
        <v>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40270-2024 artfynd.xlsx", "A 40270-2024")</f>
        <v/>
      </c>
      <c r="X10">
        <f>HYPERLINK("https://klasma.github.io/Logging_1421/kartor/A 40270-2024 karta.png", "A 40270-2024")</f>
        <v/>
      </c>
      <c r="Y10">
        <f>HYPERLINK("https://klasma.github.io/Logging_1421/kartor_geotiff/A 40270-2024 georefererad karta.tif", "A 40270-2024")</f>
        <v/>
      </c>
      <c r="Z10">
        <f>HYPERLINK("https://klasma.github.io/Logging_1421/knärot/A 40270-2024 karta knärot.png", "A 40270-2024")</f>
        <v/>
      </c>
      <c r="AA10">
        <f>HYPERLINK("https://klasma.github.io/Logging_1421/klagomål/A 40270-2024 FSC-klagomål.docx", "A 40270-2024")</f>
        <v/>
      </c>
      <c r="AB10">
        <f>HYPERLINK("https://klasma.github.io/Logging_1421/klagomålsmail/A 40270-2024 FSC-klagomål mail.docx", "A 40270-2024")</f>
        <v/>
      </c>
      <c r="AC10">
        <f>HYPERLINK("https://klasma.github.io/Logging_1421/tillsyn/A 40270-2024 tillsynsbegäran.docx", "A 40270-2024")</f>
        <v/>
      </c>
      <c r="AD10">
        <f>HYPERLINK("https://klasma.github.io/Logging_1421/tillsynsmail/A 40270-2024 tillsynsbegäran mail.docx", "A 40270-2024")</f>
        <v/>
      </c>
    </row>
    <row r="11" ht="15" customHeight="1">
      <c r="A11" t="inlineStr">
        <is>
          <t>A 49047-2025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46312</v>
      </c>
      <c r="F11" t="inlineStr">
        <is>
          <t>VÄSTRA GÖTALANDS LÄN</t>
        </is>
      </c>
      <c r="G11" t="inlineStr">
        <is>
          <t>ORUST</t>
        </is>
      </c>
      <c r="I11" t="n">
        <v>3.2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HYPERLINK("https://klasma.github.io/Logging_1421/artfynd/A 49047-2025 artfynd.xlsx", "A 49047-2025")</f>
        <v/>
      </c>
      <c r="X11">
        <f>HYPERLINK("https://klasma.github.io/Logging_1421/kartor/A 49047-2025 karta.png", "A 49047-2025")</f>
        <v/>
      </c>
      <c r="Y11">
        <f>HYPERLINK("https://klasma.github.io/Logging_1421/kartor_geotiff/A 49047-2025 georefererad karta.tif", "A 49047-2025")</f>
        <v/>
      </c>
      <c r="AA11">
        <f>HYPERLINK("https://klasma.github.io/Logging_1421/klagomål/A 49047-2025 FSC-klagomål.docx", "A 49047-2025")</f>
        <v/>
      </c>
      <c r="AB11">
        <f>HYPERLINK("https://klasma.github.io/Logging_1421/klagomålsmail/A 49047-2025 FSC-klagomål mail.docx", "A 49047-2025")</f>
        <v/>
      </c>
      <c r="AC11">
        <f>HYPERLINK("https://klasma.github.io/Logging_1421/tillsyn/A 49047-2025 tillsynsbegäran.docx", "A 49047-2025")</f>
        <v/>
      </c>
      <c r="AD11">
        <f>HYPERLINK("https://klasma.github.io/Logging_1421/tillsynsmail/A 49047-2025 tillsynsbegäran mail.docx", "A 49047-2025")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46312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46312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46312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46312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46312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46312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46312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46312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46312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46312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46312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46312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46312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46312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46312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46312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46312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46312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46312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46312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46312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46312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46312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46312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46312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46312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46312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46312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46312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46312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22750-2024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46312</v>
      </c>
      <c r="F42" t="inlineStr">
        <is>
          <t>VÄSTRA GÖTALANDS LÄN</t>
        </is>
      </c>
      <c r="G42" t="inlineStr">
        <is>
          <t>ORUST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46312</v>
      </c>
      <c r="F43" t="inlineStr">
        <is>
          <t>VÄSTRA GÖTALANDS LÄN</t>
        </is>
      </c>
      <c r="G43" t="inlineStr">
        <is>
          <t>ORUST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44899</v>
      </c>
      <c r="E44" s="1" t="n">
        <v>46312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46312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46312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46312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46312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46312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46312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46312</v>
      </c>
      <c r="F51" t="inlineStr">
        <is>
          <t>VÄSTRA GÖTALANDS LÄN</t>
        </is>
      </c>
      <c r="G51" t="inlineStr">
        <is>
          <t>ORUST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46312</v>
      </c>
      <c r="F52" t="inlineStr">
        <is>
          <t>VÄSTRA GÖTALANDS LÄN</t>
        </is>
      </c>
      <c r="G52" t="inlineStr">
        <is>
          <t>ORUST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46312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46312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45467</v>
      </c>
      <c r="E55" s="1" t="n">
        <v>46312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46312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46312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46312</v>
      </c>
      <c r="F58" t="inlineStr">
        <is>
          <t>VÄSTRA GÖTALANDS LÄN</t>
        </is>
      </c>
      <c r="G58" t="inlineStr">
        <is>
          <t>ORUST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46312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46312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46312</v>
      </c>
      <c r="F61" t="inlineStr">
        <is>
          <t>VÄSTRA GÖTALANDS LÄN</t>
        </is>
      </c>
      <c r="G61" t="inlineStr">
        <is>
          <t>ORUST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46312</v>
      </c>
      <c r="F62" t="inlineStr">
        <is>
          <t>VÄSTRA GÖTALANDS LÄN</t>
        </is>
      </c>
      <c r="G62" t="inlineStr">
        <is>
          <t>ORUST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46312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45336</v>
      </c>
      <c r="E64" s="1" t="n">
        <v>46312</v>
      </c>
      <c r="F64" t="inlineStr">
        <is>
          <t>VÄSTRA GÖTALANDS LÄN</t>
        </is>
      </c>
      <c r="G64" t="inlineStr">
        <is>
          <t>ORUST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46312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46312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46312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46312</v>
      </c>
      <c r="F68" t="inlineStr">
        <is>
          <t>VÄSTRA GÖTALANDS LÄN</t>
        </is>
      </c>
      <c r="G68" t="inlineStr">
        <is>
          <t>ORUST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46312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46312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46312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46312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46312</v>
      </c>
      <c r="F73" t="inlineStr">
        <is>
          <t>VÄSTRA GÖTALANDS LÄN</t>
        </is>
      </c>
      <c r="G73" t="inlineStr">
        <is>
          <t>ORUST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46312</v>
      </c>
      <c r="F74" t="inlineStr">
        <is>
          <t>VÄSTRA GÖTALANDS LÄN</t>
        </is>
      </c>
      <c r="G74" t="inlineStr">
        <is>
          <t>ORUST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46312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46312</v>
      </c>
      <c r="F76" t="inlineStr">
        <is>
          <t>VÄSTRA GÖTALANDS LÄN</t>
        </is>
      </c>
      <c r="G76" t="inlineStr">
        <is>
          <t>ORUST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46312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46312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45396</v>
      </c>
      <c r="E79" s="1" t="n">
        <v>46312</v>
      </c>
      <c r="F79" t="inlineStr">
        <is>
          <t>VÄSTRA GÖTALANDS LÄN</t>
        </is>
      </c>
      <c r="G79" t="inlineStr">
        <is>
          <t>ORUST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45181</v>
      </c>
      <c r="E80" s="1" t="n">
        <v>46312</v>
      </c>
      <c r="F80" t="inlineStr">
        <is>
          <t>VÄSTRA GÖTALANDS LÄN</t>
        </is>
      </c>
      <c r="G80" t="inlineStr">
        <is>
          <t>ORUST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46312</v>
      </c>
      <c r="F81" t="inlineStr">
        <is>
          <t>VÄSTRA GÖTALANDS LÄN</t>
        </is>
      </c>
      <c r="G81" t="inlineStr">
        <is>
          <t>ORUST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46312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46312</v>
      </c>
      <c r="F83" t="inlineStr">
        <is>
          <t>VÄSTRA GÖTALANDS LÄN</t>
        </is>
      </c>
      <c r="G83" t="inlineStr">
        <is>
          <t>ORUST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46312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46312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46312</v>
      </c>
      <c r="F86" t="inlineStr">
        <is>
          <t>VÄSTRA GÖTALANDS LÄN</t>
        </is>
      </c>
      <c r="G86" t="inlineStr">
        <is>
          <t>ORUST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45535</v>
      </c>
      <c r="E87" s="1" t="n">
        <v>46312</v>
      </c>
      <c r="F87" t="inlineStr">
        <is>
          <t>VÄSTRA GÖTALANDS LÄN</t>
        </is>
      </c>
      <c r="G87" t="inlineStr">
        <is>
          <t>ORUST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45992</v>
      </c>
      <c r="E88" s="1" t="n">
        <v>46312</v>
      </c>
      <c r="F88" t="inlineStr">
        <is>
          <t>VÄSTRA GÖTALANDS LÄN</t>
        </is>
      </c>
      <c r="G88" t="inlineStr">
        <is>
          <t>ORUST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46312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46312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46312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46312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46312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46312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46312</v>
      </c>
      <c r="F95" t="inlineStr">
        <is>
          <t>VÄSTRA GÖTALANDS LÄN</t>
        </is>
      </c>
      <c r="G95" t="inlineStr">
        <is>
          <t>ORUST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46312</v>
      </c>
      <c r="F96" t="inlineStr">
        <is>
          <t>VÄSTRA GÖTALANDS LÄN</t>
        </is>
      </c>
      <c r="G96" t="inlineStr">
        <is>
          <t>ORUST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46312</v>
      </c>
      <c r="F97" t="inlineStr">
        <is>
          <t>VÄSTRA GÖTALANDS LÄN</t>
        </is>
      </c>
      <c r="G97" t="inlineStr">
        <is>
          <t>ORUST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46312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46312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46312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46312</v>
      </c>
      <c r="F101" t="inlineStr">
        <is>
          <t>VÄSTRA GÖTALANDS LÄN</t>
        </is>
      </c>
      <c r="G101" t="inlineStr">
        <is>
          <t>ORUST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46312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46312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46312</v>
      </c>
      <c r="F104" t="inlineStr">
        <is>
          <t>VÄSTRA GÖTALANDS LÄN</t>
        </is>
      </c>
      <c r="G104" t="inlineStr">
        <is>
          <t>ORUST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46075</v>
      </c>
      <c r="E105" s="1" t="n">
        <v>46312</v>
      </c>
      <c r="F105" t="inlineStr">
        <is>
          <t>VÄSTRA GÖTALANDS LÄN</t>
        </is>
      </c>
      <c r="G105" t="inlineStr">
        <is>
          <t>ORUST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46312</v>
      </c>
      <c r="F106" t="inlineStr">
        <is>
          <t>VÄSTRA GÖTALANDS LÄN</t>
        </is>
      </c>
      <c r="G106" t="inlineStr">
        <is>
          <t>ORUST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46312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46312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46312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45339</v>
      </c>
      <c r="E110" s="1" t="n">
        <v>46312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46312</v>
      </c>
      <c r="F111" t="inlineStr">
        <is>
          <t>VÄSTRA GÖTALANDS LÄN</t>
        </is>
      </c>
      <c r="G111" t="inlineStr">
        <is>
          <t>ORUST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46312</v>
      </c>
      <c r="F112" t="inlineStr">
        <is>
          <t>VÄSTRA GÖTALANDS LÄN</t>
        </is>
      </c>
      <c r="G112" t="inlineStr">
        <is>
          <t>ORUST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46312</v>
      </c>
      <c r="F113" t="inlineStr">
        <is>
          <t>VÄSTRA GÖTALANDS LÄN</t>
        </is>
      </c>
      <c r="G113" t="inlineStr">
        <is>
          <t>ORUST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46312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45523</v>
      </c>
      <c r="E115" s="1" t="n">
        <v>46312</v>
      </c>
      <c r="F115" t="inlineStr">
        <is>
          <t>VÄSTRA GÖTALANDS LÄN</t>
        </is>
      </c>
      <c r="G115" t="inlineStr">
        <is>
          <t>ORUST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46280</v>
      </c>
      <c r="E116" s="1" t="n">
        <v>46312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44655</v>
      </c>
      <c r="E117" s="1" t="n">
        <v>46312</v>
      </c>
      <c r="F117" t="inlineStr">
        <is>
          <t>VÄSTRA GÖTALANDS LÄN</t>
        </is>
      </c>
      <c r="G117" t="inlineStr">
        <is>
          <t>ORUST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46312</v>
      </c>
      <c r="F118" t="inlineStr">
        <is>
          <t>VÄSTRA GÖTALANDS LÄN</t>
        </is>
      </c>
      <c r="G118" t="inlineStr">
        <is>
          <t>ORUST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46312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46312</v>
      </c>
      <c r="F120" t="inlineStr">
        <is>
          <t>VÄSTRA GÖTALANDS LÄN</t>
        </is>
      </c>
      <c r="G120" t="inlineStr">
        <is>
          <t>ORUST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32175-2024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46312</v>
      </c>
      <c r="F121" t="inlineStr">
        <is>
          <t>VÄSTRA GÖTALANDS LÄN</t>
        </is>
      </c>
      <c r="G121" t="inlineStr">
        <is>
          <t>ORUST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46312</v>
      </c>
      <c r="F122" t="inlineStr">
        <is>
          <t>VÄSTRA GÖTALANDS LÄN</t>
        </is>
      </c>
      <c r="G122" t="inlineStr">
        <is>
          <t>ORUST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45198</v>
      </c>
      <c r="E123" s="1" t="n">
        <v>46312</v>
      </c>
      <c r="F123" t="inlineStr">
        <is>
          <t>VÄSTRA GÖTALANDS LÄN</t>
        </is>
      </c>
      <c r="G123" t="inlineStr">
        <is>
          <t>ORUST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44919</v>
      </c>
      <c r="E124" s="1" t="n">
        <v>46312</v>
      </c>
      <c r="F124" t="inlineStr">
        <is>
          <t>VÄSTRA GÖTALANDS LÄN</t>
        </is>
      </c>
      <c r="G124" t="inlineStr">
        <is>
          <t>ORUST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46312</v>
      </c>
      <c r="F125" t="inlineStr">
        <is>
          <t>VÄSTRA GÖTALANDS LÄN</t>
        </is>
      </c>
      <c r="G125" t="inlineStr">
        <is>
          <t>ORUST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46312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45014</v>
      </c>
      <c r="E127" s="1" t="n">
        <v>46312</v>
      </c>
      <c r="F127" t="inlineStr">
        <is>
          <t>VÄSTRA GÖTALANDS LÄN</t>
        </is>
      </c>
      <c r="G127" t="inlineStr">
        <is>
          <t>ORUST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46312</v>
      </c>
      <c r="F128" t="inlineStr">
        <is>
          <t>VÄSTRA GÖTALANDS LÄN</t>
        </is>
      </c>
      <c r="G128" t="inlineStr">
        <is>
          <t>ORUST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45130</v>
      </c>
      <c r="E129" s="1" t="n">
        <v>46312</v>
      </c>
      <c r="F129" t="inlineStr">
        <is>
          <t>VÄSTRA GÖTALANDS LÄN</t>
        </is>
      </c>
      <c r="G129" t="inlineStr">
        <is>
          <t>ORUST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46312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46312</v>
      </c>
      <c r="F131" t="inlineStr">
        <is>
          <t>VÄSTRA GÖTALANDS LÄN</t>
        </is>
      </c>
      <c r="G131" t="inlineStr">
        <is>
          <t>ORUST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46312</v>
      </c>
      <c r="F132" t="inlineStr">
        <is>
          <t>VÄSTRA GÖTALANDS LÄN</t>
        </is>
      </c>
      <c r="G132" t="inlineStr">
        <is>
          <t>ORUST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46312</v>
      </c>
      <c r="F133" t="inlineStr">
        <is>
          <t>VÄSTRA GÖTALANDS LÄN</t>
        </is>
      </c>
      <c r="G133" t="inlineStr">
        <is>
          <t>ORUST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45718</v>
      </c>
      <c r="E134" s="1" t="n">
        <v>46312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46312</v>
      </c>
      <c r="F135" t="inlineStr">
        <is>
          <t>VÄSTRA GÖTALANDS LÄN</t>
        </is>
      </c>
      <c r="G135" t="inlineStr">
        <is>
          <t>ORUST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46312</v>
      </c>
      <c r="F136" t="inlineStr">
        <is>
          <t>VÄSTRA GÖTALANDS LÄN</t>
        </is>
      </c>
      <c r="G136" t="inlineStr">
        <is>
          <t>ORUST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46304</v>
      </c>
      <c r="E137" s="1" t="n">
        <v>46312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46304</v>
      </c>
      <c r="E138" s="1" t="n">
        <v>46312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46312</v>
      </c>
      <c r="F139" t="inlineStr">
        <is>
          <t>VÄSTRA GÖTALANDS LÄN</t>
        </is>
      </c>
      <c r="G139" t="inlineStr">
        <is>
          <t>ORUST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46312</v>
      </c>
      <c r="F140" t="inlineStr">
        <is>
          <t>VÄSTRA GÖTALANDS LÄN</t>
        </is>
      </c>
      <c r="G140" t="inlineStr">
        <is>
          <t>ORUST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46312</v>
      </c>
      <c r="F141" t="inlineStr">
        <is>
          <t>VÄSTRA GÖTALANDS LÄN</t>
        </is>
      </c>
      <c r="G141" t="inlineStr">
        <is>
          <t>ORUST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46312</v>
      </c>
      <c r="F142" t="inlineStr">
        <is>
          <t>VÄSTRA GÖTALANDS LÄN</t>
        </is>
      </c>
      <c r="G142" t="inlineStr">
        <is>
          <t>ORUST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46312</v>
      </c>
      <c r="F143" t="inlineStr">
        <is>
          <t>VÄSTRA GÖTALANDS LÄN</t>
        </is>
      </c>
      <c r="G143" t="inlineStr">
        <is>
          <t>ORUST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46312</v>
      </c>
      <c r="F144" t="inlineStr">
        <is>
          <t>VÄSTRA GÖTALANDS LÄN</t>
        </is>
      </c>
      <c r="G144" t="inlineStr">
        <is>
          <t>ORUST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46312</v>
      </c>
      <c r="F145" t="inlineStr">
        <is>
          <t>VÄSTRA GÖTALANDS LÄN</t>
        </is>
      </c>
      <c r="G145" t="inlineStr">
        <is>
          <t>ORUST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46312</v>
      </c>
      <c r="F146" t="inlineStr">
        <is>
          <t>VÄSTRA GÖTALANDS LÄN</t>
        </is>
      </c>
      <c r="G146" t="inlineStr">
        <is>
          <t>ORUST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46312</v>
      </c>
      <c r="F147" t="inlineStr">
        <is>
          <t>VÄSTRA GÖTALANDS LÄN</t>
        </is>
      </c>
      <c r="G147" t="inlineStr">
        <is>
          <t>ORUST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46312</v>
      </c>
      <c r="F148" t="inlineStr">
        <is>
          <t>VÄSTRA GÖTALANDS LÄN</t>
        </is>
      </c>
      <c r="G148" t="inlineStr">
        <is>
          <t>ORUST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46312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45872</v>
      </c>
      <c r="E150" s="1" t="n">
        <v>46312</v>
      </c>
      <c r="F150" t="inlineStr">
        <is>
          <t>VÄSTRA GÖTALANDS LÄN</t>
        </is>
      </c>
      <c r="G150" t="inlineStr">
        <is>
          <t>ORUST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46312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46312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2026-10-17T02:06:04Z</dcterms:created>
  <dcterms:modified xmlns:dcterms="http://purl.org/dc/terms/" xmlns:xsi="http://www.w3.org/2001/XMLSchema-instance" xsi:type="dcterms:W3CDTF">2026-10-17T02:06:04Z</dcterms:modified>
</cp:coreProperties>
</file>