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46257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46257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46257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46257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46257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46257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46257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46257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46257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46257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46257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46257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46257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46257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13220-2024 artfynd.xlsx", "A 13220-2024")</f>
        <v/>
      </c>
      <c r="X15">
        <f>HYPERLINK("https://klasma.github.io/Logging_1421/kartor/A 13220-2024 karta.png", "A 13220-2024")</f>
        <v/>
      </c>
      <c r="Y15">
        <f>HYPERLINK("https://klasma.github.io/Logging_1421/kartor_geotiff/A 13220-2024 georefererad karta.tif", "A 13220-2024")</f>
        <v/>
      </c>
      <c r="Z15">
        <f>HYPERLINK("https://klasma.github.io/Logging_1421/knärot/A 13220-2024 karta knärot.png", "A 13220-2024")</f>
        <v/>
      </c>
      <c r="AA15">
        <f>HYPERLINK("https://klasma.github.io/Logging_1421/klagomål/A 13220-2024 FSC-klagomål.docx", "A 13220-2024")</f>
        <v/>
      </c>
      <c r="AB15">
        <f>HYPERLINK("https://klasma.github.io/Logging_1421/klagomålsmail/A 13220-2024 FSC-klagomål mail.docx", "A 13220-2024")</f>
        <v/>
      </c>
      <c r="AC15">
        <f>HYPERLINK("https://klasma.github.io/Logging_1421/tillsyn/A 13220-2024 tillsynsbegäran.docx", "A 13220-2024")</f>
        <v/>
      </c>
      <c r="AD15">
        <f>HYPERLINK("https://klasma.github.io/Logging_1421/tillsynsmail/A 13220-2024 tillsynsbegäran mail.docx", "A 13220-2024")</f>
        <v/>
      </c>
    </row>
    <row r="16" ht="15" customHeight="1">
      <c r="A16" t="inlineStr">
        <is>
          <t>A 41056-2025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46257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Grönpyrola</t>
        </is>
      </c>
      <c r="W16">
        <f>HYPERLINK("https://klasma.github.io/Logging_1421/artfynd/A 41056-2025 artfynd.xlsx", "A 41056-2025")</f>
        <v/>
      </c>
      <c r="X16">
        <f>HYPERLINK("https://klasma.github.io/Logging_1421/kartor/A 41056-2025 karta.png", "A 41056-2025")</f>
        <v/>
      </c>
      <c r="Y16">
        <f>HYPERLINK("https://klasma.github.io/Logging_1421/kartor_geotiff/A 41056-2025 georefererad karta.tif", "A 41056-2025")</f>
        <v/>
      </c>
      <c r="AA16">
        <f>HYPERLINK("https://klasma.github.io/Logging_1421/klagomål/A 41056-2025 FSC-klagomål.docx", "A 41056-2025")</f>
        <v/>
      </c>
      <c r="AB16">
        <f>HYPERLINK("https://klasma.github.io/Logging_1421/klagomålsmail/A 41056-2025 FSC-klagomål mail.docx", "A 41056-2025")</f>
        <v/>
      </c>
      <c r="AC16">
        <f>HYPERLINK("https://klasma.github.io/Logging_1421/tillsyn/A 41056-2025 tillsynsbegäran.docx", "A 41056-2025")</f>
        <v/>
      </c>
      <c r="AD16">
        <f>HYPERLINK("https://klasma.github.io/Logging_1421/tillsynsmail/A 41056-2025 tillsynsbegäran mail.docx", "A 41056-2025")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46257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46257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46257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46257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5617-2024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45334</v>
      </c>
      <c r="E21" s="1" t="n">
        <v>46257</v>
      </c>
      <c r="F21" t="inlineStr">
        <is>
          <t>VÄSTRA GÖTALANDS LÄN</t>
        </is>
      </c>
      <c r="G21" t="inlineStr">
        <is>
          <t>ORUST</t>
        </is>
      </c>
      <c r="I21" t="n">
        <v>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5617-2024 artfynd.xlsx", "A 5617-2024")</f>
        <v/>
      </c>
      <c r="X21">
        <f>HYPERLINK("https://klasma.github.io/Logging_1421/kartor/A 5617-2024 karta.png", "A 5617-2024")</f>
        <v/>
      </c>
      <c r="Y21">
        <f>HYPERLINK("https://klasma.github.io/Logging_1421/kartor_geotiff/A 5617-2024 georefererad karta.tif", "A 5617-2024")</f>
        <v/>
      </c>
      <c r="Z21">
        <f>HYPERLINK("https://klasma.github.io/Logging_1421/knärot/A 5617-2024 karta knärot.png", "A 5617-2024")</f>
        <v/>
      </c>
      <c r="AA21">
        <f>HYPERLINK("https://klasma.github.io/Logging_1421/klagomål/A 5617-2024 FSC-klagomål.docx", "A 5617-2024")</f>
        <v/>
      </c>
      <c r="AB21">
        <f>HYPERLINK("https://klasma.github.io/Logging_1421/klagomålsmail/A 5617-2024 FSC-klagomål mail.docx", "A 5617-2024")</f>
        <v/>
      </c>
      <c r="AC21">
        <f>HYPERLINK("https://klasma.github.io/Logging_1421/tillsyn/A 5617-2024 tillsynsbegäran.docx", "A 5617-2024")</f>
        <v/>
      </c>
      <c r="AD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46257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46257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46257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49047-2025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46257</v>
      </c>
      <c r="F25" t="inlineStr">
        <is>
          <t>VÄSTRA GÖTALANDS LÄN</t>
        </is>
      </c>
      <c r="G25" t="inlineStr">
        <is>
          <t>ORUST</t>
        </is>
      </c>
      <c r="I25" t="n">
        <v>3.2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HYPERLINK("https://klasma.github.io/Logging_1421/artfynd/A 49047-2025 artfynd.xlsx", "A 49047-2025")</f>
        <v/>
      </c>
      <c r="X25">
        <f>HYPERLINK("https://klasma.github.io/Logging_1421/kartor/A 49047-2025 karta.png", "A 49047-2025")</f>
        <v/>
      </c>
      <c r="Y25">
        <f>HYPERLINK("https://klasma.github.io/Logging_1421/kartor_geotiff/A 49047-2025 georefererad karta.tif", "A 49047-2025")</f>
        <v/>
      </c>
      <c r="AA25">
        <f>HYPERLINK("https://klasma.github.io/Logging_1421/klagomål/A 49047-2025 FSC-klagomål.docx", "A 49047-2025")</f>
        <v/>
      </c>
      <c r="AB25">
        <f>HYPERLINK("https://klasma.github.io/Logging_1421/klagomålsmail/A 49047-2025 FSC-klagomål mail.docx", "A 49047-2025")</f>
        <v/>
      </c>
      <c r="AC25">
        <f>HYPERLINK("https://klasma.github.io/Logging_1421/tillsyn/A 49047-2025 tillsynsbegäran.docx", "A 49047-2025")</f>
        <v/>
      </c>
      <c r="AD25">
        <f>HYPERLINK("https://klasma.github.io/Logging_1421/tillsynsmail/A 49047-2025 tillsynsbegäran mail.docx", "A 49047-2025")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46257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31028-2026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46213</v>
      </c>
      <c r="E27" s="1" t="n">
        <v>46257</v>
      </c>
      <c r="F27" t="inlineStr">
        <is>
          <t>VÄSTRA GÖTALANDS LÄN</t>
        </is>
      </c>
      <c r="G27" t="inlineStr">
        <is>
          <t>ORUST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HYPERLINK("https://klasma.github.io/Logging_1421/artfynd/A 31028-2026 artfynd.xlsx", "A 31028-2026")</f>
        <v/>
      </c>
      <c r="X27">
        <f>HYPERLINK("https://klasma.github.io/Logging_1421/kartor/A 31028-2026 karta.png", "A 31028-2026")</f>
        <v/>
      </c>
      <c r="Y27">
        <f>HYPERLINK("https://klasma.github.io/Logging_1421/kartor_geotiff/A 31028-2026 georefererad karta.tif", "A 31028-2026")</f>
        <v/>
      </c>
      <c r="AA27">
        <f>HYPERLINK("https://klasma.github.io/Logging_1421/klagomål/A 31028-2026 FSC-klagomål.docx", "A 31028-2026")</f>
        <v/>
      </c>
      <c r="AB27">
        <f>HYPERLINK("https://klasma.github.io/Logging_1421/klagomålsmail/A 31028-2026 FSC-klagomål mail.docx", "A 31028-2026")</f>
        <v/>
      </c>
      <c r="AC27">
        <f>HYPERLINK("https://klasma.github.io/Logging_1421/tillsyn/A 31028-2026 tillsynsbegäran.docx", "A 31028-2026")</f>
        <v/>
      </c>
      <c r="AD27">
        <f>HYPERLINK("https://klasma.github.io/Logging_1421/tillsynsmail/A 31028-2026 tillsynsbegäran mail.docx", "A 31028-2026")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46257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46257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46257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46257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46257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46257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46257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46257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46257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46257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46257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46257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46257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46257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46257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46257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46257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46257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46257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46257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46257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62516-2022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44924</v>
      </c>
      <c r="E49" s="1" t="n">
        <v>46257</v>
      </c>
      <c r="F49" t="inlineStr">
        <is>
          <t>VÄSTRA GÖTALANDS LÄN</t>
        </is>
      </c>
      <c r="G49" t="inlineStr">
        <is>
          <t>ORUST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46257</v>
      </c>
      <c r="F50" t="inlineStr">
        <is>
          <t>VÄSTRA GÖTALANDS LÄN</t>
        </is>
      </c>
      <c r="G50" t="inlineStr">
        <is>
          <t>ORUST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46257</v>
      </c>
      <c r="F51" t="inlineStr">
        <is>
          <t>VÄSTRA GÖTALANDS LÄN</t>
        </is>
      </c>
      <c r="G51" t="inlineStr">
        <is>
          <t>ORUST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49134-2021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44453</v>
      </c>
      <c r="E52" s="1" t="n">
        <v>46257</v>
      </c>
      <c r="F52" t="inlineStr">
        <is>
          <t>VÄSTRA GÖTALANDS LÄN</t>
        </is>
      </c>
      <c r="G52" t="inlineStr">
        <is>
          <t>ORUST</t>
        </is>
      </c>
      <c r="H52" t="inlineStr">
        <is>
          <t>Kommuner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46257</v>
      </c>
      <c r="F53" t="inlineStr">
        <is>
          <t>VÄSTRA GÖTALANDS LÄN</t>
        </is>
      </c>
      <c r="G53" t="inlineStr">
        <is>
          <t>ORUST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46257</v>
      </c>
      <c r="F54" t="inlineStr">
        <is>
          <t>VÄSTRA GÖTALANDS LÄN</t>
        </is>
      </c>
      <c r="G54" t="inlineStr">
        <is>
          <t>ORUST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45336</v>
      </c>
      <c r="E55" s="1" t="n">
        <v>46257</v>
      </c>
      <c r="F55" t="inlineStr">
        <is>
          <t>VÄSTRA GÖTALANDS LÄN</t>
        </is>
      </c>
      <c r="G55" t="inlineStr">
        <is>
          <t>ORUST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45268</v>
      </c>
      <c r="E56" s="1" t="n">
        <v>46257</v>
      </c>
      <c r="F56" t="inlineStr">
        <is>
          <t>VÄSTRA GÖTALANDS LÄN</t>
        </is>
      </c>
      <c r="G56" t="inlineStr">
        <is>
          <t>ORUST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20089-2025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46257</v>
      </c>
      <c r="F57" t="inlineStr">
        <is>
          <t>VÄSTRA GÖTALANDS LÄN</t>
        </is>
      </c>
      <c r="G57" t="inlineStr">
        <is>
          <t>ORUST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45645</v>
      </c>
      <c r="E58" s="1" t="n">
        <v>46257</v>
      </c>
      <c r="F58" t="inlineStr">
        <is>
          <t>VÄSTRA GÖTALANDS LÄN</t>
        </is>
      </c>
      <c r="G58" t="inlineStr">
        <is>
          <t>ORUST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46257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46257</v>
      </c>
      <c r="F60" t="inlineStr">
        <is>
          <t>VÄSTRA GÖTALANDS LÄN</t>
        </is>
      </c>
      <c r="G60" t="inlineStr">
        <is>
          <t>ORUST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34217-2022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46257</v>
      </c>
      <c r="F61" t="inlineStr">
        <is>
          <t>VÄSTRA GÖTALANDS LÄN</t>
        </is>
      </c>
      <c r="G61" t="inlineStr">
        <is>
          <t>ORUST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45903</v>
      </c>
      <c r="E62" s="1" t="n">
        <v>46257</v>
      </c>
      <c r="F62" t="inlineStr">
        <is>
          <t>VÄSTRA GÖTALANDS LÄN</t>
        </is>
      </c>
      <c r="G62" t="inlineStr">
        <is>
          <t>ORUST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46257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46257</v>
      </c>
      <c r="F64" t="inlineStr">
        <is>
          <t>VÄSTRA GÖTALANDS LÄN</t>
        </is>
      </c>
      <c r="G64" t="inlineStr">
        <is>
          <t>ORUST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45334</v>
      </c>
      <c r="E65" s="1" t="n">
        <v>46257</v>
      </c>
      <c r="F65" t="inlineStr">
        <is>
          <t>VÄSTRA GÖTALANDS LÄN</t>
        </is>
      </c>
      <c r="G65" t="inlineStr">
        <is>
          <t>ORUST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46257</v>
      </c>
      <c r="F66" t="inlineStr">
        <is>
          <t>VÄSTRA GÖTALANDS LÄN</t>
        </is>
      </c>
      <c r="G66" t="inlineStr">
        <is>
          <t>ORUST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46257</v>
      </c>
      <c r="F67" t="inlineStr">
        <is>
          <t>VÄSTRA GÖTALANDS LÄN</t>
        </is>
      </c>
      <c r="G67" t="inlineStr">
        <is>
          <t>ORUST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36999-2023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46257</v>
      </c>
      <c r="F68" t="inlineStr">
        <is>
          <t>VÄSTRA GÖTALANDS LÄN</t>
        </is>
      </c>
      <c r="G68" t="inlineStr">
        <is>
          <t>ORUST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45045</v>
      </c>
      <c r="E69" s="1" t="n">
        <v>46257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46257</v>
      </c>
      <c r="F70" t="inlineStr">
        <is>
          <t>VÄSTRA GÖTALANDS LÄN</t>
        </is>
      </c>
      <c r="G70" t="inlineStr">
        <is>
          <t>ORUST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45005</v>
      </c>
      <c r="E71" s="1" t="n">
        <v>46257</v>
      </c>
      <c r="F71" t="inlineStr">
        <is>
          <t>VÄSTRA GÖTALANDS LÄN</t>
        </is>
      </c>
      <c r="G71" t="inlineStr">
        <is>
          <t>ORUST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45539</v>
      </c>
      <c r="E72" s="1" t="n">
        <v>46257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45641</v>
      </c>
      <c r="E73" s="1" t="n">
        <v>46257</v>
      </c>
      <c r="F73" t="inlineStr">
        <is>
          <t>VÄSTRA GÖTALANDS LÄN</t>
        </is>
      </c>
      <c r="G73" t="inlineStr">
        <is>
          <t>ORUST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45181</v>
      </c>
      <c r="E74" s="1" t="n">
        <v>46257</v>
      </c>
      <c r="F74" t="inlineStr">
        <is>
          <t>VÄSTRA GÖTALANDS LÄN</t>
        </is>
      </c>
      <c r="G74" t="inlineStr">
        <is>
          <t>ORUST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46257</v>
      </c>
      <c r="F75" t="inlineStr">
        <is>
          <t>VÄSTRA GÖTALANDS LÄN</t>
        </is>
      </c>
      <c r="G75" t="inlineStr">
        <is>
          <t>ORUST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45601</v>
      </c>
      <c r="E76" s="1" t="n">
        <v>46257</v>
      </c>
      <c r="F76" t="inlineStr">
        <is>
          <t>VÄSTRA GÖTALANDS LÄN</t>
        </is>
      </c>
      <c r="G76" t="inlineStr">
        <is>
          <t>ORUST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46257</v>
      </c>
      <c r="F77" t="inlineStr">
        <is>
          <t>VÄSTRA GÖTALANDS LÄN</t>
        </is>
      </c>
      <c r="G77" t="inlineStr">
        <is>
          <t>ORUST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46257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46257</v>
      </c>
      <c r="F79" t="inlineStr">
        <is>
          <t>VÄSTRA GÖTALANDS LÄN</t>
        </is>
      </c>
      <c r="G79" t="inlineStr">
        <is>
          <t>ORUST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44888</v>
      </c>
      <c r="E80" s="1" t="n">
        <v>46257</v>
      </c>
      <c r="F80" t="inlineStr">
        <is>
          <t>VÄSTRA GÖTALANDS LÄN</t>
        </is>
      </c>
      <c r="G80" t="inlineStr">
        <is>
          <t>ORUST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45840</v>
      </c>
      <c r="E81" s="1" t="n">
        <v>46257</v>
      </c>
      <c r="F81" t="inlineStr">
        <is>
          <t>VÄSTRA GÖTALANDS LÄN</t>
        </is>
      </c>
      <c r="G81" t="inlineStr">
        <is>
          <t>ORUST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45840</v>
      </c>
      <c r="E82" s="1" t="n">
        <v>46257</v>
      </c>
      <c r="F82" t="inlineStr">
        <is>
          <t>VÄSTRA GÖTALANDS LÄN</t>
        </is>
      </c>
      <c r="G82" t="inlineStr">
        <is>
          <t>ORUST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46257</v>
      </c>
      <c r="F83" t="inlineStr">
        <is>
          <t>VÄSTRA GÖTALANDS LÄN</t>
        </is>
      </c>
      <c r="G83" t="inlineStr">
        <is>
          <t>ORUST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46257</v>
      </c>
      <c r="F84" t="inlineStr">
        <is>
          <t>VÄSTRA GÖTALANDS LÄN</t>
        </is>
      </c>
      <c r="G84" t="inlineStr">
        <is>
          <t>ORUST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45535</v>
      </c>
      <c r="E85" s="1" t="n">
        <v>46257</v>
      </c>
      <c r="F85" t="inlineStr">
        <is>
          <t>VÄSTRA GÖTALANDS LÄN</t>
        </is>
      </c>
      <c r="G85" t="inlineStr">
        <is>
          <t>ORUST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46257</v>
      </c>
      <c r="F86" t="inlineStr">
        <is>
          <t>VÄSTRA GÖTALANDS LÄN</t>
        </is>
      </c>
      <c r="G86" t="inlineStr">
        <is>
          <t>ORUST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45187</v>
      </c>
      <c r="E87" s="1" t="n">
        <v>46257</v>
      </c>
      <c r="F87" t="inlineStr">
        <is>
          <t>VÄSTRA GÖTALANDS LÄN</t>
        </is>
      </c>
      <c r="G87" t="inlineStr">
        <is>
          <t>ORUST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45847</v>
      </c>
      <c r="E88" s="1" t="n">
        <v>46257</v>
      </c>
      <c r="F88" t="inlineStr">
        <is>
          <t>VÄSTRA GÖTALANDS LÄN</t>
        </is>
      </c>
      <c r="G88" t="inlineStr">
        <is>
          <t>ORUST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45491</v>
      </c>
      <c r="E89" s="1" t="n">
        <v>46257</v>
      </c>
      <c r="F89" t="inlineStr">
        <is>
          <t>VÄSTRA GÖTALANDS LÄN</t>
        </is>
      </c>
      <c r="G89" t="inlineStr">
        <is>
          <t>ORUST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46257</v>
      </c>
      <c r="F90" t="inlineStr">
        <is>
          <t>VÄSTRA GÖTALANDS LÄN</t>
        </is>
      </c>
      <c r="G90" t="inlineStr">
        <is>
          <t>ORUST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46257</v>
      </c>
      <c r="F91" t="inlineStr">
        <is>
          <t>VÄSTRA GÖTALANDS LÄN</t>
        </is>
      </c>
      <c r="G91" t="inlineStr">
        <is>
          <t>ORUST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46257</v>
      </c>
      <c r="F92" t="inlineStr">
        <is>
          <t>VÄSTRA GÖTALANDS LÄN</t>
        </is>
      </c>
      <c r="G92" t="inlineStr">
        <is>
          <t>ORUST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46257</v>
      </c>
      <c r="F93" t="inlineStr">
        <is>
          <t>VÄSTRA GÖTALANDS LÄN</t>
        </is>
      </c>
      <c r="G93" t="inlineStr">
        <is>
          <t>ORUST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45992</v>
      </c>
      <c r="E94" s="1" t="n">
        <v>46257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71890-2021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46257</v>
      </c>
      <c r="F95" t="inlineStr">
        <is>
          <t>VÄSTRA GÖTALANDS LÄN</t>
        </is>
      </c>
      <c r="G95" t="inlineStr">
        <is>
          <t>ORUST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46257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46257</v>
      </c>
      <c r="F97" t="inlineStr">
        <is>
          <t>VÄSTRA GÖTALANDS LÄN</t>
        </is>
      </c>
      <c r="G97" t="inlineStr">
        <is>
          <t>ORUST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46257</v>
      </c>
      <c r="F98" t="inlineStr">
        <is>
          <t>VÄSTRA GÖTALANDS LÄN</t>
        </is>
      </c>
      <c r="G98" t="inlineStr">
        <is>
          <t>ORUST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46257</v>
      </c>
      <c r="F99" t="inlineStr">
        <is>
          <t>VÄSTRA GÖTALANDS LÄN</t>
        </is>
      </c>
      <c r="G99" t="inlineStr">
        <is>
          <t>ORUST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46257</v>
      </c>
      <c r="F100" t="inlineStr">
        <is>
          <t>VÄSTRA GÖTALANDS LÄN</t>
        </is>
      </c>
      <c r="G100" t="inlineStr">
        <is>
          <t>ORUST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46257</v>
      </c>
      <c r="F101" t="inlineStr">
        <is>
          <t>VÄSTRA GÖTALANDS LÄN</t>
        </is>
      </c>
      <c r="G101" t="inlineStr">
        <is>
          <t>ORUST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25925-2024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45467</v>
      </c>
      <c r="E102" s="1" t="n">
        <v>46257</v>
      </c>
      <c r="F102" t="inlineStr">
        <is>
          <t>VÄSTRA GÖTALANDS LÄN</t>
        </is>
      </c>
      <c r="G102" t="inlineStr">
        <is>
          <t>ORUST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45872</v>
      </c>
      <c r="E103" s="1" t="n">
        <v>46257</v>
      </c>
      <c r="F103" t="inlineStr">
        <is>
          <t>VÄSTRA GÖTALANDS LÄN</t>
        </is>
      </c>
      <c r="G103" t="inlineStr">
        <is>
          <t>ORUST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46257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46257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46044</v>
      </c>
      <c r="E106" s="1" t="n">
        <v>46257</v>
      </c>
      <c r="F106" t="inlineStr">
        <is>
          <t>VÄSTRA GÖTALANDS LÄN</t>
        </is>
      </c>
      <c r="G106" t="inlineStr">
        <is>
          <t>ORUST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46257</v>
      </c>
      <c r="F107" t="inlineStr">
        <is>
          <t>VÄSTRA GÖTALANDS LÄN</t>
        </is>
      </c>
      <c r="G107" t="inlineStr">
        <is>
          <t>ORUST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46257</v>
      </c>
      <c r="F108" t="inlineStr">
        <is>
          <t>VÄSTRA GÖTALANDS LÄN</t>
        </is>
      </c>
      <c r="G108" t="inlineStr">
        <is>
          <t>ORUST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46170</v>
      </c>
      <c r="E109" s="1" t="n">
        <v>46257</v>
      </c>
      <c r="F109" t="inlineStr">
        <is>
          <t>VÄSTRA GÖTALANDS LÄN</t>
        </is>
      </c>
      <c r="G109" t="inlineStr">
        <is>
          <t>ORUST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46257</v>
      </c>
      <c r="F110" t="inlineStr">
        <is>
          <t>VÄSTRA GÖTALANDS LÄN</t>
        </is>
      </c>
      <c r="G110" t="inlineStr">
        <is>
          <t>ORUST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46257</v>
      </c>
      <c r="F111" t="inlineStr">
        <is>
          <t>VÄSTRA GÖTALANDS LÄN</t>
        </is>
      </c>
      <c r="G111" t="inlineStr">
        <is>
          <t>ORUST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46257</v>
      </c>
      <c r="F112" t="inlineStr">
        <is>
          <t>VÄSTRA GÖTALANDS LÄN</t>
        </is>
      </c>
      <c r="G112" t="inlineStr">
        <is>
          <t>ORUST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45667</v>
      </c>
      <c r="E113" s="1" t="n">
        <v>46257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25123-2026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46257</v>
      </c>
      <c r="F114" t="inlineStr">
        <is>
          <t>VÄSTRA GÖTALANDS LÄN</t>
        </is>
      </c>
      <c r="G114" t="inlineStr">
        <is>
          <t>ORUST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46257</v>
      </c>
      <c r="F115" t="inlineStr">
        <is>
          <t>VÄSTRA GÖTALANDS LÄN</t>
        </is>
      </c>
      <c r="G115" t="inlineStr">
        <is>
          <t>ORUST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46065</v>
      </c>
      <c r="E116" s="1" t="n">
        <v>46257</v>
      </c>
      <c r="F116" t="inlineStr">
        <is>
          <t>VÄSTRA GÖTALANDS LÄN</t>
        </is>
      </c>
      <c r="G116" t="inlineStr">
        <is>
          <t>ORUST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45339</v>
      </c>
      <c r="E117" s="1" t="n">
        <v>46257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46257</v>
      </c>
      <c r="F118" t="inlineStr">
        <is>
          <t>VÄSTRA GÖTALANDS LÄN</t>
        </is>
      </c>
      <c r="G118" t="inlineStr">
        <is>
          <t>ORUST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46257</v>
      </c>
      <c r="F119" t="inlineStr">
        <is>
          <t>VÄSTRA GÖTALANDS LÄN</t>
        </is>
      </c>
      <c r="G119" t="inlineStr">
        <is>
          <t>ORUST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46257</v>
      </c>
      <c r="F120" t="inlineStr">
        <is>
          <t>VÄSTRA GÖTALANDS LÄN</t>
        </is>
      </c>
      <c r="G120" t="inlineStr">
        <is>
          <t>ORUST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46075</v>
      </c>
      <c r="E121" s="1" t="n">
        <v>46257</v>
      </c>
      <c r="F121" t="inlineStr">
        <is>
          <t>VÄSTRA GÖTALANDS LÄN</t>
        </is>
      </c>
      <c r="G121" t="inlineStr">
        <is>
          <t>ORUST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46257</v>
      </c>
      <c r="F122" t="inlineStr">
        <is>
          <t>VÄSTRA GÖTALANDS LÄN</t>
        </is>
      </c>
      <c r="G122" t="inlineStr">
        <is>
          <t>ORUST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46257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46257</v>
      </c>
      <c r="F124" t="inlineStr">
        <is>
          <t>VÄSTRA GÖTALANDS LÄN</t>
        </is>
      </c>
      <c r="G124" t="inlineStr">
        <is>
          <t>ORUST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12087-2026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46086</v>
      </c>
      <c r="E125" s="1" t="n">
        <v>46257</v>
      </c>
      <c r="F125" t="inlineStr">
        <is>
          <t>VÄSTRA GÖTALANDS LÄN</t>
        </is>
      </c>
      <c r="G125" t="inlineStr">
        <is>
          <t>ORUST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46257</v>
      </c>
      <c r="F126" t="inlineStr">
        <is>
          <t>VÄSTRA GÖTALANDS LÄN</t>
        </is>
      </c>
      <c r="G126" t="inlineStr">
        <is>
          <t>ORUST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46257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45523</v>
      </c>
      <c r="E128" s="1" t="n">
        <v>46257</v>
      </c>
      <c r="F128" t="inlineStr">
        <is>
          <t>VÄSTRA GÖTALANDS LÄN</t>
        </is>
      </c>
      <c r="G128" t="inlineStr">
        <is>
          <t>ORUST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46120</v>
      </c>
      <c r="E129" s="1" t="n">
        <v>46257</v>
      </c>
      <c r="F129" t="inlineStr">
        <is>
          <t>VÄSTRA GÖTALANDS LÄN</t>
        </is>
      </c>
      <c r="G129" t="inlineStr">
        <is>
          <t>ORUST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46257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46257</v>
      </c>
      <c r="F131" t="inlineStr">
        <is>
          <t>VÄSTRA GÖTALANDS LÄN</t>
        </is>
      </c>
      <c r="G131" t="inlineStr">
        <is>
          <t>ORUST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46257</v>
      </c>
      <c r="F132" t="inlineStr">
        <is>
          <t>VÄSTRA GÖTALANDS LÄN</t>
        </is>
      </c>
      <c r="G132" t="inlineStr">
        <is>
          <t>ORUST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28109-2024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45476</v>
      </c>
      <c r="E133" s="1" t="n">
        <v>46257</v>
      </c>
      <c r="F133" t="inlineStr">
        <is>
          <t>VÄSTRA GÖTALANDS LÄN</t>
        </is>
      </c>
      <c r="G133" t="inlineStr">
        <is>
          <t>ORUST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46251</v>
      </c>
      <c r="E134" s="1" t="n">
        <v>46257</v>
      </c>
      <c r="F134" t="inlineStr">
        <is>
          <t>VÄSTRA GÖTALANDS LÄN</t>
        </is>
      </c>
      <c r="G134" t="inlineStr">
        <is>
          <t>ORUST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46257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63626-2023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46257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46257</v>
      </c>
      <c r="F137" t="inlineStr">
        <is>
          <t>VÄSTRA GÖTALANDS LÄN</t>
        </is>
      </c>
      <c r="G137" t="inlineStr">
        <is>
          <t>ORUST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46257</v>
      </c>
      <c r="F138" t="inlineStr">
        <is>
          <t>VÄSTRA GÖTALANDS LÄN</t>
        </is>
      </c>
      <c r="G138" t="inlineStr">
        <is>
          <t>ORUST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46257</v>
      </c>
      <c r="F139" t="inlineStr">
        <is>
          <t>VÄSTRA GÖTALANDS LÄN</t>
        </is>
      </c>
      <c r="G139" t="inlineStr">
        <is>
          <t>ORUST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46257</v>
      </c>
      <c r="F140" t="inlineStr">
        <is>
          <t>VÄSTRA GÖTALANDS LÄN</t>
        </is>
      </c>
      <c r="G140" t="inlineStr">
        <is>
          <t>ORUST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45895</v>
      </c>
      <c r="E141" s="1" t="n">
        <v>46257</v>
      </c>
      <c r="F141" t="inlineStr">
        <is>
          <t>VÄSTRA GÖTALANDS LÄN</t>
        </is>
      </c>
      <c r="G141" t="inlineStr">
        <is>
          <t>ORUST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46257</v>
      </c>
      <c r="F142" t="inlineStr">
        <is>
          <t>VÄSTRA GÖTALANDS LÄN</t>
        </is>
      </c>
      <c r="G142" t="inlineStr">
        <is>
          <t>ORUST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56496-2021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44480</v>
      </c>
      <c r="E143" s="1" t="n">
        <v>46257</v>
      </c>
      <c r="F143" t="inlineStr">
        <is>
          <t>VÄSTRA GÖTALANDS LÄN</t>
        </is>
      </c>
      <c r="G143" t="inlineStr">
        <is>
          <t>ORUST</t>
        </is>
      </c>
      <c r="I143" t="n">
        <v>10.3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46257</v>
      </c>
      <c r="F144" t="inlineStr">
        <is>
          <t>VÄSTRA GÖTALANDS LÄN</t>
        </is>
      </c>
      <c r="G144" t="inlineStr">
        <is>
          <t>ORUST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68727-2021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44529</v>
      </c>
      <c r="E145" s="1" t="n">
        <v>46257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46213</v>
      </c>
      <c r="E146" s="1" t="n">
        <v>46257</v>
      </c>
      <c r="F146" t="inlineStr">
        <is>
          <t>VÄSTRA GÖTALANDS LÄN</t>
        </is>
      </c>
      <c r="G146" t="inlineStr">
        <is>
          <t>ORUST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44919</v>
      </c>
      <c r="E147" s="1" t="n">
        <v>46257</v>
      </c>
      <c r="F147" t="inlineStr">
        <is>
          <t>VÄSTRA GÖTALANDS LÄN</t>
        </is>
      </c>
      <c r="G147" t="inlineStr">
        <is>
          <t>ORUST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49134-2021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44453</v>
      </c>
      <c r="E148" s="1" t="n">
        <v>46257</v>
      </c>
      <c r="F148" t="inlineStr">
        <is>
          <t>VÄSTRA GÖTALANDS LÄN</t>
        </is>
      </c>
      <c r="G148" t="inlineStr">
        <is>
          <t>ORUST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46257</v>
      </c>
      <c r="F149" t="inlineStr">
        <is>
          <t>VÄSTRA GÖTALANDS LÄN</t>
        </is>
      </c>
      <c r="G149" t="inlineStr">
        <is>
          <t>ORUST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44899</v>
      </c>
      <c r="E150" s="1" t="n">
        <v>46257</v>
      </c>
      <c r="F150" t="inlineStr">
        <is>
          <t>VÄSTRA GÖTALANDS LÄN</t>
        </is>
      </c>
      <c r="G150" t="inlineStr">
        <is>
          <t>ORUST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46257</v>
      </c>
      <c r="F151" t="inlineStr">
        <is>
          <t>VÄSTRA GÖTALANDS LÄN</t>
        </is>
      </c>
      <c r="G151" t="inlineStr">
        <is>
          <t>ORUST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45014</v>
      </c>
      <c r="E152" s="1" t="n">
        <v>46257</v>
      </c>
      <c r="F152" t="inlineStr">
        <is>
          <t>VÄSTRA GÖTALANDS LÄN</t>
        </is>
      </c>
      <c r="G152" t="inlineStr">
        <is>
          <t>ORUST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45313</v>
      </c>
      <c r="E153" s="1" t="n">
        <v>46257</v>
      </c>
      <c r="F153" t="inlineStr">
        <is>
          <t>VÄSTRA GÖTALANDS LÄN</t>
        </is>
      </c>
      <c r="G153" t="inlineStr">
        <is>
          <t>ORUST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45130</v>
      </c>
      <c r="E154" s="1" t="n">
        <v>46257</v>
      </c>
      <c r="F154" t="inlineStr">
        <is>
          <t>VÄSTRA GÖTALANDS LÄN</t>
        </is>
      </c>
      <c r="G154" t="inlineStr">
        <is>
          <t>ORUST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45396</v>
      </c>
      <c r="E155" s="1" t="n">
        <v>46257</v>
      </c>
      <c r="F155" t="inlineStr">
        <is>
          <t>VÄSTRA GÖTALANDS LÄN</t>
        </is>
      </c>
      <c r="G155" t="inlineStr">
        <is>
          <t>ORUST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46257</v>
      </c>
      <c r="F156" t="inlineStr">
        <is>
          <t>VÄSTRA GÖTALANDS LÄN</t>
        </is>
      </c>
      <c r="G156" t="inlineStr">
        <is>
          <t>ORUST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46257</v>
      </c>
      <c r="F157" t="inlineStr">
        <is>
          <t>VÄSTRA GÖTALANDS LÄN</t>
        </is>
      </c>
      <c r="G157" t="inlineStr">
        <is>
          <t>ORUST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45718</v>
      </c>
      <c r="E158" s="1" t="n">
        <v>46257</v>
      </c>
      <c r="F158" t="inlineStr">
        <is>
          <t>VÄSTRA GÖTALANDS LÄN</t>
        </is>
      </c>
      <c r="G158" t="inlineStr">
        <is>
          <t>ORUST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46257</v>
      </c>
      <c r="F159" t="inlineStr">
        <is>
          <t>VÄSTRA GÖTALANDS LÄN</t>
        </is>
      </c>
      <c r="G159" t="inlineStr">
        <is>
          <t>ORUST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46257</v>
      </c>
      <c r="F160" t="inlineStr">
        <is>
          <t>VÄSTRA GÖTALANDS LÄN</t>
        </is>
      </c>
      <c r="G160" t="inlineStr">
        <is>
          <t>ORUST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45797</v>
      </c>
      <c r="E161" s="1" t="n">
        <v>46257</v>
      </c>
      <c r="F161" t="inlineStr">
        <is>
          <t>VÄSTRA GÖTALANDS LÄN</t>
        </is>
      </c>
      <c r="G161" t="inlineStr">
        <is>
          <t>ORUST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34046-2024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45523</v>
      </c>
      <c r="E162" s="1" t="n">
        <v>46257</v>
      </c>
      <c r="F162" t="inlineStr">
        <is>
          <t>VÄSTRA GÖTALANDS LÄN</t>
        </is>
      </c>
      <c r="G162" t="inlineStr">
        <is>
          <t>ORUST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46257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2026-08-23T01:52:37Z</dcterms:created>
  <dcterms:modified xmlns:dcterms="http://purl.org/dc/terms/" xmlns:xsi="http://www.w3.org/2001/XMLSchema-instance" xsi:type="dcterms:W3CDTF">2026-08-23T01:52:37Z</dcterms:modified>
</cp:coreProperties>
</file>