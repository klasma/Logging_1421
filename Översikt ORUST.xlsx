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74306-2021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44559</v>
      </c>
      <c r="E2" s="1" t="n">
        <v>46316</v>
      </c>
      <c r="F2" t="inlineStr">
        <is>
          <t>VÄSTRA GÖTALANDS LÄN</t>
        </is>
      </c>
      <c r="G2" t="inlineStr">
        <is>
          <t>ORUST</t>
        </is>
      </c>
      <c r="I2" t="n">
        <v>14.6</v>
      </c>
      <c r="J2" t="n">
        <v>1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4</v>
      </c>
      <c r="T2" t="n">
        <v>4</v>
      </c>
      <c r="U2" t="n">
        <v>4</v>
      </c>
      <c r="V2" s="2" t="inlineStr">
        <is>
          <t>Dvärglin
Kösa
Åkerrödtoppa
Revlummer</t>
        </is>
      </c>
      <c r="W2">
        <f>HYPERLINK("https://klasma.github.io/Logging_1421/artfynd/A 74306-2021 artfynd.xlsx", "A 74306-2021")</f>
        <v/>
      </c>
      <c r="X2">
        <f>HYPERLINK("https://klasma.github.io/Logging_1421/kartor/A 74306-2021 karta.png", "A 74306-2021")</f>
        <v/>
      </c>
      <c r="Y2">
        <f>HYPERLINK("https://klasma.github.io/Logging_1421/kartor_geotiff/A 74306-2021 georefererad karta.tif", "A 74306-2021")</f>
        <v/>
      </c>
      <c r="AA2">
        <f>HYPERLINK("https://klasma.github.io/Logging_1421/klagomål/A 74306-2021 FSC-klagomål.docx", "A 74306-2021")</f>
        <v/>
      </c>
      <c r="AB2">
        <f>HYPERLINK("https://klasma.github.io/Logging_1421/klagomålsmail/A 74306-2021 FSC-klagomål mail.docx", "A 74306-2021")</f>
        <v/>
      </c>
      <c r="AC2">
        <f>HYPERLINK("https://klasma.github.io/Logging_1421/tillsyn/A 74306-2021 tillsynsbegäran.docx", "A 74306-2021")</f>
        <v/>
      </c>
      <c r="AD2">
        <f>HYPERLINK("https://klasma.github.io/Logging_1421/tillsynsmail/A 74306-2021 tillsynsbegäran mail.docx", "A 74306-2021")</f>
        <v/>
      </c>
    </row>
    <row r="3" ht="15" customHeight="1">
      <c r="A3" t="inlineStr">
        <is>
          <t>A 14805-2023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45014</v>
      </c>
      <c r="E3" s="1" t="n">
        <v>46316</v>
      </c>
      <c r="F3" t="inlineStr">
        <is>
          <t>VÄSTRA GÖTALANDS LÄN</t>
        </is>
      </c>
      <c r="G3" t="inlineStr">
        <is>
          <t>ORUST</t>
        </is>
      </c>
      <c r="I3" t="n">
        <v>3.2</v>
      </c>
      <c r="J3" t="n">
        <v>2</v>
      </c>
      <c r="K3" t="n">
        <v>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6</v>
      </c>
      <c r="U3" t="n">
        <v>6</v>
      </c>
      <c r="V3" s="2" t="inlineStr">
        <is>
          <t>Knärot
Grönsångare
Kambräken
Purpurmylia</t>
        </is>
      </c>
      <c r="W3">
        <f>HYPERLINK("https://klasma.github.io/Logging_1421/artfynd/A 14805-2023 artfynd.xlsx", "A 14805-2023")</f>
        <v/>
      </c>
      <c r="X3">
        <f>HYPERLINK("https://klasma.github.io/Logging_1421/kartor/A 14805-2023 karta.png", "A 14805-2023")</f>
        <v/>
      </c>
      <c r="Y3">
        <f>HYPERLINK("https://klasma.github.io/Logging_1421/kartor_geotiff/A 14805-2023 georefererad karta.tif", "A 14805-2023")</f>
        <v/>
      </c>
      <c r="Z3">
        <f>HYPERLINK("https://klasma.github.io/Logging_1421/knärot/A 14805-2023 karta knärot.png", "A 14805-2023")</f>
        <v/>
      </c>
      <c r="AA3">
        <f>HYPERLINK("https://klasma.github.io/Logging_1421/klagomål/A 14805-2023 FSC-klagomål.docx", "A 14805-2023")</f>
        <v/>
      </c>
      <c r="AB3">
        <f>HYPERLINK("https://klasma.github.io/Logging_1421/klagomålsmail/A 14805-2023 FSC-klagomål mail.docx", "A 14805-2023")</f>
        <v/>
      </c>
      <c r="AC3">
        <f>HYPERLINK("https://klasma.github.io/Logging_1421/tillsyn/A 14805-2023 tillsynsbegäran.docx", "A 14805-2023")</f>
        <v/>
      </c>
      <c r="AD3">
        <f>HYPERLINK("https://klasma.github.io/Logging_1421/tillsynsmail/A 14805-2023 tillsynsbegäran mail.docx", "A 14805-2023")</f>
        <v/>
      </c>
      <c r="AE3">
        <f>HYPERLINK("https://klasma.github.io/Logging_1421/fåglar/A 14805-2023 prioriterade fågelarter.docx", "A 14805-2023")</f>
        <v/>
      </c>
    </row>
    <row r="4" ht="15" customHeight="1">
      <c r="A4" t="inlineStr">
        <is>
          <t>A 65099-2023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45288</v>
      </c>
      <c r="E4" s="1" t="n">
        <v>46316</v>
      </c>
      <c r="F4" t="inlineStr">
        <is>
          <t>VÄSTRA GÖTALANDS LÄN</t>
        </is>
      </c>
      <c r="G4" t="inlineStr">
        <is>
          <t>ORUST</t>
        </is>
      </c>
      <c r="I4" t="n">
        <v>17.8</v>
      </c>
      <c r="J4" t="n">
        <v>1</v>
      </c>
      <c r="K4" t="n">
        <v>2</v>
      </c>
      <c r="L4" t="n">
        <v>0</v>
      </c>
      <c r="M4" t="n">
        <v>2</v>
      </c>
      <c r="N4" t="n">
        <v>0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4</v>
      </c>
      <c r="U4" t="n">
        <v>3</v>
      </c>
      <c r="V4" s="2" t="inlineStr">
        <is>
          <t>Blockskapania
Knärot
Grov fjädermossa
Stor revmossa</t>
        </is>
      </c>
      <c r="W4">
        <f>HYPERLINK("https://klasma.github.io/Logging_1421/artfynd/A 65099-2023 artfynd.xlsx", "A 65099-2023")</f>
        <v/>
      </c>
      <c r="X4">
        <f>HYPERLINK("https://klasma.github.io/Logging_1421/kartor/A 65099-2023 karta.png", "A 65099-2023")</f>
        <v/>
      </c>
      <c r="Y4">
        <f>HYPERLINK("https://klasma.github.io/Logging_1421/kartor_geotiff/A 65099-2023 georefererad karta.tif", "A 65099-2023")</f>
        <v/>
      </c>
      <c r="Z4">
        <f>HYPERLINK("https://klasma.github.io/Logging_1421/knärot/A 65099-2023 karta knärot.png", "A 65099-2023")</f>
        <v/>
      </c>
      <c r="AA4">
        <f>HYPERLINK("https://klasma.github.io/Logging_1421/klagomål/A 65099-2023 FSC-klagomål.docx", "A 65099-2023")</f>
        <v/>
      </c>
      <c r="AB4">
        <f>HYPERLINK("https://klasma.github.io/Logging_1421/klagomålsmail/A 65099-2023 FSC-klagomål mail.docx", "A 65099-2023")</f>
        <v/>
      </c>
      <c r="AC4">
        <f>HYPERLINK("https://klasma.github.io/Logging_1421/tillsyn/A 65099-2023 tillsynsbegäran.docx", "A 65099-2023")</f>
        <v/>
      </c>
      <c r="AD4">
        <f>HYPERLINK("https://klasma.github.io/Logging_1421/tillsynsmail/A 65099-2023 tillsynsbegäran mail.docx", "A 65099-2023")</f>
        <v/>
      </c>
    </row>
    <row r="5" ht="15" customHeight="1">
      <c r="A5" t="inlineStr">
        <is>
          <t>A 49930-2024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45597</v>
      </c>
      <c r="E5" s="1" t="n">
        <v>46316</v>
      </c>
      <c r="F5" t="inlineStr">
        <is>
          <t>VÄSTRA GÖTALANDS LÄN</t>
        </is>
      </c>
      <c r="G5" t="inlineStr">
        <is>
          <t>ORUST</t>
        </is>
      </c>
      <c r="I5" t="n">
        <v>16.6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6</v>
      </c>
      <c r="U5" t="n">
        <v>5</v>
      </c>
      <c r="V5" s="2" t="inlineStr">
        <is>
          <t>Motaggsvamp
Svart trolldruva
Revlummer
Äkta lopplummer</t>
        </is>
      </c>
      <c r="W5">
        <f>HYPERLINK("https://klasma.github.io/Logging_1421/artfynd/A 49930-2024 artfynd.xlsx", "A 49930-2024")</f>
        <v/>
      </c>
      <c r="X5">
        <f>HYPERLINK("https://klasma.github.io/Logging_1421/kartor/A 49930-2024 karta.png", "A 49930-2024")</f>
        <v/>
      </c>
      <c r="Y5">
        <f>HYPERLINK("https://klasma.github.io/Logging_1421/kartor_geotiff/A 49930-2024 georefererad karta.tif", "A 49930-2024")</f>
        <v/>
      </c>
      <c r="AA5">
        <f>HYPERLINK("https://klasma.github.io/Logging_1421/klagomål/A 49930-2024 FSC-klagomål.docx", "A 49930-2024")</f>
        <v/>
      </c>
      <c r="AB5">
        <f>HYPERLINK("https://klasma.github.io/Logging_1421/klagomålsmail/A 49930-2024 FSC-klagomål mail.docx", "A 49930-2024")</f>
        <v/>
      </c>
      <c r="AC5">
        <f>HYPERLINK("https://klasma.github.io/Logging_1421/tillsyn/A 49930-2024 tillsynsbegäran.docx", "A 49930-2024")</f>
        <v/>
      </c>
      <c r="AD5">
        <f>HYPERLINK("https://klasma.github.io/Logging_1421/tillsynsmail/A 49930-2024 tillsynsbegäran mail.docx", "A 49930-2024")</f>
        <v/>
      </c>
    </row>
    <row r="6" ht="15" customHeight="1">
      <c r="A6" t="inlineStr">
        <is>
          <t>A 72588-2021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44546</v>
      </c>
      <c r="E6" s="1" t="n">
        <v>46316</v>
      </c>
      <c r="F6" t="inlineStr">
        <is>
          <t>VÄSTRA GÖTALANDS LÄN</t>
        </is>
      </c>
      <c r="G6" t="inlineStr">
        <is>
          <t>ORUST</t>
        </is>
      </c>
      <c r="I6" t="n">
        <v>21.8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2</v>
      </c>
      <c r="V6" s="2" t="inlineStr">
        <is>
          <t>Knärot
Kambräken
Spillkråka</t>
        </is>
      </c>
      <c r="W6">
        <f>HYPERLINK("https://klasma.github.io/Logging_1421/artfynd/A 72588-2021 artfynd.xlsx", "A 72588-2021")</f>
        <v/>
      </c>
      <c r="X6">
        <f>HYPERLINK("https://klasma.github.io/Logging_1421/kartor/A 72588-2021 karta.png", "A 72588-2021")</f>
        <v/>
      </c>
      <c r="Y6">
        <f>HYPERLINK("https://klasma.github.io/Logging_1421/kartor_geotiff/A 72588-2021 georefererad karta.tif", "A 72588-2021")</f>
        <v/>
      </c>
      <c r="Z6">
        <f>HYPERLINK("https://klasma.github.io/Logging_1421/knärot/A 72588-2021 karta knärot.png", "A 72588-2021")</f>
        <v/>
      </c>
      <c r="AA6">
        <f>HYPERLINK("https://klasma.github.io/Logging_1421/klagomål/A 72588-2021 FSC-klagomål.docx", "A 72588-2021")</f>
        <v/>
      </c>
      <c r="AB6">
        <f>HYPERLINK("https://klasma.github.io/Logging_1421/klagomålsmail/A 72588-2021 FSC-klagomål mail.docx", "A 72588-2021")</f>
        <v/>
      </c>
      <c r="AC6">
        <f>HYPERLINK("https://klasma.github.io/Logging_1421/tillsyn/A 72588-2021 tillsynsbegäran.docx", "A 72588-2021")</f>
        <v/>
      </c>
      <c r="AD6">
        <f>HYPERLINK("https://klasma.github.io/Logging_1421/tillsynsmail/A 72588-2021 tillsynsbegäran mail.docx", "A 72588-2021")</f>
        <v/>
      </c>
      <c r="AE6">
        <f>HYPERLINK("https://klasma.github.io/Logging_1421/fåglar/A 72588-2021 prioriterade fågelarter.docx", "A 72588-2021")</f>
        <v/>
      </c>
    </row>
    <row r="7" ht="15" customHeight="1">
      <c r="A7" t="inlineStr">
        <is>
          <t>A 6055-2024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45336</v>
      </c>
      <c r="E7" s="1" t="n">
        <v>46316</v>
      </c>
      <c r="F7" t="inlineStr">
        <is>
          <t>VÄSTRA GÖTALANDS LÄN</t>
        </is>
      </c>
      <c r="G7" t="inlineStr">
        <is>
          <t>ORUST</t>
        </is>
      </c>
      <c r="I7" t="n">
        <v>24.1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3</v>
      </c>
      <c r="V7" s="2" t="inlineStr">
        <is>
          <t>Lopplummer (aggregat)
Revlummer
Äkta lopplummer</t>
        </is>
      </c>
      <c r="W7">
        <f>HYPERLINK("https://klasma.github.io/Logging_1421/artfynd/A 6055-2024 artfynd.xlsx", "A 6055-2024")</f>
        <v/>
      </c>
      <c r="X7">
        <f>HYPERLINK("https://klasma.github.io/Logging_1421/kartor/A 6055-2024 karta.png", "A 6055-2024")</f>
        <v/>
      </c>
      <c r="Y7">
        <f>HYPERLINK("https://klasma.github.io/Logging_1421/kartor_geotiff/A 6055-2024 georefererad karta.tif", "A 6055-2024")</f>
        <v/>
      </c>
      <c r="AA7">
        <f>HYPERLINK("https://klasma.github.io/Logging_1421/klagomål/A 6055-2024 FSC-klagomål.docx", "A 6055-2024")</f>
        <v/>
      </c>
      <c r="AB7">
        <f>HYPERLINK("https://klasma.github.io/Logging_1421/klagomålsmail/A 6055-2024 FSC-klagomål mail.docx", "A 6055-2024")</f>
        <v/>
      </c>
      <c r="AC7">
        <f>HYPERLINK("https://klasma.github.io/Logging_1421/tillsyn/A 6055-2024 tillsynsbegäran.docx", "A 6055-2024")</f>
        <v/>
      </c>
      <c r="AD7">
        <f>HYPERLINK("https://klasma.github.io/Logging_1421/tillsynsmail/A 6055-2024 tillsynsbegäran mail.docx", "A 6055-2024")</f>
        <v/>
      </c>
    </row>
    <row r="8" ht="15" customHeight="1">
      <c r="A8" t="inlineStr">
        <is>
          <t>A 63419-2023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45274</v>
      </c>
      <c r="E8" s="1" t="n">
        <v>46316</v>
      </c>
      <c r="F8" t="inlineStr">
        <is>
          <t>VÄSTRA GÖTALANDS LÄN</t>
        </is>
      </c>
      <c r="G8" t="inlineStr">
        <is>
          <t>ORUST</t>
        </is>
      </c>
      <c r="I8" t="n">
        <v>6.4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Björktrast
Rödvingetrast
Gröngöling</t>
        </is>
      </c>
      <c r="W8">
        <f>HYPERLINK("https://klasma.github.io/Logging_1421/artfynd/A 63419-2023 artfynd.xlsx", "A 63419-2023")</f>
        <v/>
      </c>
      <c r="X8">
        <f>HYPERLINK("https://klasma.github.io/Logging_1421/kartor/A 63419-2023 karta.png", "A 63419-2023")</f>
        <v/>
      </c>
      <c r="Y8">
        <f>HYPERLINK("https://klasma.github.io/Logging_1421/kartor_geotiff/A 63419-2023 georefererad karta.tif", "A 63419-2023")</f>
        <v/>
      </c>
      <c r="AA8">
        <f>HYPERLINK("https://klasma.github.io/Logging_1421/klagomål/A 63419-2023 FSC-klagomål.docx", "A 63419-2023")</f>
        <v/>
      </c>
      <c r="AB8">
        <f>HYPERLINK("https://klasma.github.io/Logging_1421/klagomålsmail/A 63419-2023 FSC-klagomål mail.docx", "A 63419-2023")</f>
        <v/>
      </c>
      <c r="AC8">
        <f>HYPERLINK("https://klasma.github.io/Logging_1421/tillsyn/A 63419-2023 tillsynsbegäran.docx", "A 63419-2023")</f>
        <v/>
      </c>
      <c r="AD8">
        <f>HYPERLINK("https://klasma.github.io/Logging_1421/tillsynsmail/A 63419-2023 tillsynsbegäran mail.docx", "A 63419-2023")</f>
        <v/>
      </c>
      <c r="AE8">
        <f>HYPERLINK("https://klasma.github.io/Logging_1421/fåglar/A 63419-2023 prioriterade fågelarter.docx", "A 63419-2023")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46316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56035-2025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45973</v>
      </c>
      <c r="E10" s="1" t="n">
        <v>46316</v>
      </c>
      <c r="F10" t="inlineStr">
        <is>
          <t>VÄSTRA GÖTALANDS LÄN</t>
        </is>
      </c>
      <c r="G10" t="inlineStr">
        <is>
          <t>ORUST</t>
        </is>
      </c>
      <c r="I10" t="n">
        <v>15.9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8</v>
      </c>
      <c r="U10" t="n">
        <v>0</v>
      </c>
      <c r="V10" s="2" t="inlineStr">
        <is>
          <t>Knärot</t>
        </is>
      </c>
      <c r="W10">
        <f>HYPERLINK("https://klasma.github.io/Logging_1421/artfynd/A 56035-2025 artfynd.xlsx", "A 56035-2025")</f>
        <v/>
      </c>
      <c r="X10">
        <f>HYPERLINK("https://klasma.github.io/Logging_1421/kartor/A 56035-2025 karta.png", "A 56035-2025")</f>
        <v/>
      </c>
      <c r="Y10">
        <f>HYPERLINK("https://klasma.github.io/Logging_1421/kartor_geotiff/A 56035-2025 georefererad karta.tif", "A 56035-2025")</f>
        <v/>
      </c>
      <c r="Z10">
        <f>HYPERLINK("https://klasma.github.io/Logging_1421/knärot/A 56035-2025 karta knärot.png", "A 56035-2025")</f>
        <v/>
      </c>
      <c r="AA10">
        <f>HYPERLINK("https://klasma.github.io/Logging_1421/klagomål/A 56035-2025 FSC-klagomål.docx", "A 56035-2025")</f>
        <v/>
      </c>
      <c r="AB10">
        <f>HYPERLINK("https://klasma.github.io/Logging_1421/klagomålsmail/A 56035-2025 FSC-klagomål mail.docx", "A 56035-2025")</f>
        <v/>
      </c>
      <c r="AC10">
        <f>HYPERLINK("https://klasma.github.io/Logging_1421/tillsyn/A 56035-2025 tillsynsbegäran.docx", "A 56035-2025")</f>
        <v/>
      </c>
      <c r="AD10">
        <f>HYPERLINK("https://klasma.github.io/Logging_1421/tillsynsmail/A 56035-2025 tillsynsbegäran mail.docx", "A 56035-2025")</f>
        <v/>
      </c>
    </row>
    <row r="11" ht="15" customHeight="1">
      <c r="A11" t="inlineStr">
        <is>
          <t>A 12722-2026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46091</v>
      </c>
      <c r="E11" s="1" t="n">
        <v>46316</v>
      </c>
      <c r="F11" t="inlineStr">
        <is>
          <t>VÄSTRA GÖTALANDS LÄN</t>
        </is>
      </c>
      <c r="G11" t="inlineStr">
        <is>
          <t>ORUST</t>
        </is>
      </c>
      <c r="I11" t="n">
        <v>7.4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HYPERLINK("https://klasma.github.io/Logging_1421/artfynd/A 12722-2026 artfynd.xlsx", "A 12722-2026")</f>
        <v/>
      </c>
      <c r="X11">
        <f>HYPERLINK("https://klasma.github.io/Logging_1421/kartor/A 12722-2026 karta.png", "A 12722-2026")</f>
        <v/>
      </c>
      <c r="Y11">
        <f>HYPERLINK("https://klasma.github.io/Logging_1421/kartor_geotiff/A 12722-2026 georefererad karta.tif", "A 12722-2026")</f>
        <v/>
      </c>
      <c r="Z11">
        <f>HYPERLINK("https://klasma.github.io/Logging_1421/knärot/A 12722-2026 karta knärot.png", "A 12722-2026")</f>
        <v/>
      </c>
      <c r="AA11">
        <f>HYPERLINK("https://klasma.github.io/Logging_1421/klagomål/A 12722-2026 FSC-klagomål.docx", "A 12722-2026")</f>
        <v/>
      </c>
      <c r="AB11">
        <f>HYPERLINK("https://klasma.github.io/Logging_1421/klagomålsmail/A 12722-2026 FSC-klagomål mail.docx", "A 12722-2026")</f>
        <v/>
      </c>
      <c r="AC11">
        <f>HYPERLINK("https://klasma.github.io/Logging_1421/tillsyn/A 12722-2026 tillsynsbegäran.docx", "A 12722-2026")</f>
        <v/>
      </c>
      <c r="AD11">
        <f>HYPERLINK("https://klasma.github.io/Logging_1421/tillsynsmail/A 12722-2026 tillsynsbegäran mail.docx", "A 12722-2026")</f>
        <v/>
      </c>
    </row>
    <row r="12" ht="15" customHeight="1">
      <c r="A12" t="inlineStr">
        <is>
          <t>A 40270-2024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45554</v>
      </c>
      <c r="E12" s="1" t="n">
        <v>46316</v>
      </c>
      <c r="F12" t="inlineStr">
        <is>
          <t>VÄSTRA GÖTALANDS LÄN</t>
        </is>
      </c>
      <c r="G12" t="inlineStr">
        <is>
          <t>ORUST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Knärot</t>
        </is>
      </c>
      <c r="W12">
        <f>HYPERLINK("https://klasma.github.io/Logging_1421/artfynd/A 40270-2024 artfynd.xlsx", "A 40270-2024")</f>
        <v/>
      </c>
      <c r="X12">
        <f>HYPERLINK("https://klasma.github.io/Logging_1421/kartor/A 40270-2024 karta.png", "A 40270-2024")</f>
        <v/>
      </c>
      <c r="Y12">
        <f>HYPERLINK("https://klasma.github.io/Logging_1421/kartor_geotiff/A 40270-2024 georefererad karta.tif", "A 40270-2024")</f>
        <v/>
      </c>
      <c r="Z12">
        <f>HYPERLINK("https://klasma.github.io/Logging_1421/knärot/A 40270-2024 karta knärot.png", "A 40270-2024")</f>
        <v/>
      </c>
      <c r="AA12">
        <f>HYPERLINK("https://klasma.github.io/Logging_1421/klagomål/A 40270-2024 FSC-klagomål.docx", "A 40270-2024")</f>
        <v/>
      </c>
      <c r="AB12">
        <f>HYPERLINK("https://klasma.github.io/Logging_1421/klagomålsmail/A 40270-2024 FSC-klagomål mail.docx", "A 40270-2024")</f>
        <v/>
      </c>
      <c r="AC12">
        <f>HYPERLINK("https://klasma.github.io/Logging_1421/tillsyn/A 40270-2024 tillsynsbegäran.docx", "A 40270-2024")</f>
        <v/>
      </c>
      <c r="AD12">
        <f>HYPERLINK("https://klasma.github.io/Logging_1421/tillsynsmail/A 40270-2024 tillsynsbegäran mail.docx", "A 40270-2024")</f>
        <v/>
      </c>
    </row>
    <row r="13" ht="15" customHeight="1">
      <c r="A13" t="inlineStr">
        <is>
          <t>A 6986-2024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45343</v>
      </c>
      <c r="E13" s="1" t="n">
        <v>46316</v>
      </c>
      <c r="F13" t="inlineStr">
        <is>
          <t>VÄSTRA GÖTALANDS LÄN</t>
        </is>
      </c>
      <c r="G13" t="inlineStr">
        <is>
          <t>ORUST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HYPERLINK("https://klasma.github.io/Logging_1421/artfynd/A 6986-2024 artfynd.xlsx", "A 6986-2024")</f>
        <v/>
      </c>
      <c r="X13">
        <f>HYPERLINK("https://klasma.github.io/Logging_1421/kartor/A 6986-2024 karta.png", "A 6986-2024")</f>
        <v/>
      </c>
      <c r="Y13">
        <f>HYPERLINK("https://klasma.github.io/Logging_1421/kartor_geotiff/A 6986-2024 georefererad karta.tif", "A 6986-2024")</f>
        <v/>
      </c>
      <c r="AA13">
        <f>HYPERLINK("https://klasma.github.io/Logging_1421/klagomål/A 6986-2024 FSC-klagomål.docx", "A 6986-2024")</f>
        <v/>
      </c>
      <c r="AB13">
        <f>HYPERLINK("https://klasma.github.io/Logging_1421/klagomålsmail/A 6986-2024 FSC-klagomål mail.docx", "A 6986-2024")</f>
        <v/>
      </c>
      <c r="AC13">
        <f>HYPERLINK("https://klasma.github.io/Logging_1421/tillsyn/A 6986-2024 tillsynsbegäran.docx", "A 6986-2024")</f>
        <v/>
      </c>
      <c r="AD13">
        <f>HYPERLINK("https://klasma.github.io/Logging_1421/tillsynsmail/A 6986-2024 tillsynsbegäran mail.docx", "A 6986-2024")</f>
        <v/>
      </c>
    </row>
    <row r="14" ht="15" customHeight="1">
      <c r="A14" t="inlineStr">
        <is>
          <t>A 49047-2025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45937</v>
      </c>
      <c r="E14" s="1" t="n">
        <v>46316</v>
      </c>
      <c r="F14" t="inlineStr">
        <is>
          <t>VÄSTRA GÖTALANDS LÄN</t>
        </is>
      </c>
      <c r="G14" t="inlineStr">
        <is>
          <t>ORUST</t>
        </is>
      </c>
      <c r="I14" t="n">
        <v>3.2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Granspira</t>
        </is>
      </c>
      <c r="W14">
        <f>HYPERLINK("https://klasma.github.io/Logging_1421/artfynd/A 49047-2025 artfynd.xlsx", "A 49047-2025")</f>
        <v/>
      </c>
      <c r="X14">
        <f>HYPERLINK("https://klasma.github.io/Logging_1421/kartor/A 49047-2025 karta.png", "A 49047-2025")</f>
        <v/>
      </c>
      <c r="Y14">
        <f>HYPERLINK("https://klasma.github.io/Logging_1421/kartor_geotiff/A 49047-2025 georefererad karta.tif", "A 49047-2025")</f>
        <v/>
      </c>
      <c r="AA14">
        <f>HYPERLINK("https://klasma.github.io/Logging_1421/klagomål/A 49047-2025 FSC-klagomål.docx", "A 49047-2025")</f>
        <v/>
      </c>
      <c r="AB14">
        <f>HYPERLINK("https://klasma.github.io/Logging_1421/klagomålsmail/A 49047-2025 FSC-klagomål mail.docx", "A 49047-2025")</f>
        <v/>
      </c>
      <c r="AC14">
        <f>HYPERLINK("https://klasma.github.io/Logging_1421/tillsyn/A 49047-2025 tillsynsbegäran.docx", "A 49047-2025")</f>
        <v/>
      </c>
      <c r="AD14">
        <f>HYPERLINK("https://klasma.github.io/Logging_1421/tillsynsmail/A 49047-2025 tillsynsbegäran mail.docx", "A 49047-2025")</f>
        <v/>
      </c>
    </row>
    <row r="15" ht="15" customHeight="1">
      <c r="A15" t="inlineStr">
        <is>
          <t>A 23921-2026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46167</v>
      </c>
      <c r="E15" s="1" t="n">
        <v>46316</v>
      </c>
      <c r="F15" t="inlineStr">
        <is>
          <t>VÄSTRA GÖTALANDS LÄN</t>
        </is>
      </c>
      <c r="G15" t="inlineStr">
        <is>
          <t>ORUST</t>
        </is>
      </c>
      <c r="I15" t="n">
        <v>3.6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Västlig hakmossa</t>
        </is>
      </c>
      <c r="W15">
        <f>HYPERLINK("https://klasma.github.io/Logging_1421/artfynd/A 23921-2026 artfynd.xlsx", "A 23921-2026")</f>
        <v/>
      </c>
      <c r="X15">
        <f>HYPERLINK("https://klasma.github.io/Logging_1421/kartor/A 23921-2026 karta.png", "A 23921-2026")</f>
        <v/>
      </c>
      <c r="Y15">
        <f>HYPERLINK("https://klasma.github.io/Logging_1421/kartor_geotiff/A 23921-2026 georefererad karta.tif", "A 23921-2026")</f>
        <v/>
      </c>
      <c r="AA15">
        <f>HYPERLINK("https://klasma.github.io/Logging_1421/klagomål/A 23921-2026 FSC-klagomål.docx", "A 23921-2026")</f>
        <v/>
      </c>
      <c r="AB15">
        <f>HYPERLINK("https://klasma.github.io/Logging_1421/klagomålsmail/A 23921-2026 FSC-klagomål mail.docx", "A 23921-2026")</f>
        <v/>
      </c>
      <c r="AC15">
        <f>HYPERLINK("https://klasma.github.io/Logging_1421/tillsyn/A 23921-2026 tillsynsbegäran.docx", "A 23921-2026")</f>
        <v/>
      </c>
      <c r="AD15">
        <f>HYPERLINK("https://klasma.github.io/Logging_1421/tillsynsmail/A 23921-2026 tillsynsbegäran mail.docx", "A 23921-2026")</f>
        <v/>
      </c>
    </row>
    <row r="16" ht="15" customHeight="1">
      <c r="A16" t="inlineStr">
        <is>
          <t>A 771-2023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44931</v>
      </c>
      <c r="E16" s="1" t="n">
        <v>46316</v>
      </c>
      <c r="F16" t="inlineStr">
        <is>
          <t>VÄSTRA GÖTALANDS LÄN</t>
        </is>
      </c>
      <c r="G16" t="inlineStr">
        <is>
          <t>ORUST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HYPERLINK("https://klasma.github.io/Logging_1421/artfynd/A 771-2023 artfynd.xlsx", "A 771-2023")</f>
        <v/>
      </c>
      <c r="X16">
        <f>HYPERLINK("https://klasma.github.io/Logging_1421/kartor/A 771-2023 karta.png", "A 771-2023")</f>
        <v/>
      </c>
      <c r="Y16">
        <f>HYPERLINK("https://klasma.github.io/Logging_1421/kartor_geotiff/A 771-2023 georefererad karta.tif", "A 771-2023")</f>
        <v/>
      </c>
      <c r="AA16">
        <f>HYPERLINK("https://klasma.github.io/Logging_1421/klagomål/A 771-2023 FSC-klagomål.docx", "A 771-2023")</f>
        <v/>
      </c>
      <c r="AB16">
        <f>HYPERLINK("https://klasma.github.io/Logging_1421/klagomålsmail/A 771-2023 FSC-klagomål mail.docx", "A 771-2023")</f>
        <v/>
      </c>
      <c r="AC16">
        <f>HYPERLINK("https://klasma.github.io/Logging_1421/tillsyn/A 771-2023 tillsynsbegäran.docx", "A 771-2023")</f>
        <v/>
      </c>
      <c r="AD16">
        <f>HYPERLINK("https://klasma.github.io/Logging_1421/tillsynsmail/A 771-2023 tillsynsbegäran mail.docx", "A 771-2023")</f>
        <v/>
      </c>
      <c r="AE16">
        <f>HYPERLINK("https://klasma.github.io/Logging_1421/fåglar/A 771-2023 prioriterade fågelarter.docx", "A 771-2023")</f>
        <v/>
      </c>
    </row>
    <row r="17" ht="15" customHeight="1">
      <c r="A17" t="inlineStr">
        <is>
          <t>A 31028-2026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46213</v>
      </c>
      <c r="E17" s="1" t="n">
        <v>46316</v>
      </c>
      <c r="F17" t="inlineStr">
        <is>
          <t>VÄSTRA GÖTALANDS LÄN</t>
        </is>
      </c>
      <c r="G17" t="inlineStr">
        <is>
          <t>ORUST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Mörk husmossa</t>
        </is>
      </c>
      <c r="W17">
        <f>HYPERLINK("https://klasma.github.io/Logging_1421/artfynd/A 31028-2026 artfynd.xlsx", "A 31028-2026")</f>
        <v/>
      </c>
      <c r="X17">
        <f>HYPERLINK("https://klasma.github.io/Logging_1421/kartor/A 31028-2026 karta.png", "A 31028-2026")</f>
        <v/>
      </c>
      <c r="Y17">
        <f>HYPERLINK("https://klasma.github.io/Logging_1421/kartor_geotiff/A 31028-2026 georefererad karta.tif", "A 31028-2026")</f>
        <v/>
      </c>
      <c r="AA17">
        <f>HYPERLINK("https://klasma.github.io/Logging_1421/klagomål/A 31028-2026 FSC-klagomål.docx", "A 31028-2026")</f>
        <v/>
      </c>
      <c r="AB17">
        <f>HYPERLINK("https://klasma.github.io/Logging_1421/klagomålsmail/A 31028-2026 FSC-klagomål mail.docx", "A 31028-2026")</f>
        <v/>
      </c>
      <c r="AC17">
        <f>HYPERLINK("https://klasma.github.io/Logging_1421/tillsyn/A 31028-2026 tillsynsbegäran.docx", "A 31028-2026")</f>
        <v/>
      </c>
      <c r="AD17">
        <f>HYPERLINK("https://klasma.github.io/Logging_1421/tillsynsmail/A 31028-2026 tillsynsbegäran mail.docx", "A 31028-2026")</f>
        <v/>
      </c>
    </row>
    <row r="18" ht="15" customHeight="1">
      <c r="A18" t="inlineStr">
        <is>
          <t>A 41056-2025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45898</v>
      </c>
      <c r="E18" s="1" t="n">
        <v>46316</v>
      </c>
      <c r="F18" t="inlineStr">
        <is>
          <t>VÄSTRA GÖTALANDS LÄN</t>
        </is>
      </c>
      <c r="G18" t="inlineStr">
        <is>
          <t>ORUST</t>
        </is>
      </c>
      <c r="I18" t="n">
        <v>3.3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Grönpyrola</t>
        </is>
      </c>
      <c r="W18">
        <f>HYPERLINK("https://klasma.github.io/Logging_1421/artfynd/A 41056-2025 artfynd.xlsx", "A 41056-2025")</f>
        <v/>
      </c>
      <c r="X18">
        <f>HYPERLINK("https://klasma.github.io/Logging_1421/kartor/A 41056-2025 karta.png", "A 41056-2025")</f>
        <v/>
      </c>
      <c r="Y18">
        <f>HYPERLINK("https://klasma.github.io/Logging_1421/kartor_geotiff/A 41056-2025 georefererad karta.tif", "A 41056-2025")</f>
        <v/>
      </c>
      <c r="AA18">
        <f>HYPERLINK("https://klasma.github.io/Logging_1421/klagomål/A 41056-2025 FSC-klagomål.docx", "A 41056-2025")</f>
        <v/>
      </c>
      <c r="AB18">
        <f>HYPERLINK("https://klasma.github.io/Logging_1421/klagomålsmail/A 41056-2025 FSC-klagomål mail.docx", "A 41056-2025")</f>
        <v/>
      </c>
      <c r="AC18">
        <f>HYPERLINK("https://klasma.github.io/Logging_1421/tillsyn/A 41056-2025 tillsynsbegäran.docx", "A 41056-2025")</f>
        <v/>
      </c>
      <c r="AD18">
        <f>HYPERLINK("https://klasma.github.io/Logging_1421/tillsynsmail/A 41056-2025 tillsynsbegäran mail.docx", "A 41056-2025")</f>
        <v/>
      </c>
    </row>
    <row r="19" ht="15" customHeight="1">
      <c r="A19" t="inlineStr">
        <is>
          <t>A 13220-2024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45386</v>
      </c>
      <c r="E19" s="1" t="n">
        <v>46316</v>
      </c>
      <c r="F19" t="inlineStr">
        <is>
          <t>VÄSTRA GÖTALANDS LÄN</t>
        </is>
      </c>
      <c r="G19" t="inlineStr">
        <is>
          <t>ORUST</t>
        </is>
      </c>
      <c r="I19" t="n">
        <v>3.3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0</v>
      </c>
      <c r="V19" s="2" t="inlineStr">
        <is>
          <t>Knärot</t>
        </is>
      </c>
      <c r="W19">
        <f>HYPERLINK("https://klasma.github.io/Logging_1421/artfynd/A 13220-2024 artfynd.xlsx", "A 13220-2024")</f>
        <v/>
      </c>
      <c r="X19">
        <f>HYPERLINK("https://klasma.github.io/Logging_1421/kartor/A 13220-2024 karta.png", "A 13220-2024")</f>
        <v/>
      </c>
      <c r="Y19">
        <f>HYPERLINK("https://klasma.github.io/Logging_1421/kartor_geotiff/A 13220-2024 georefererad karta.tif", "A 13220-2024")</f>
        <v/>
      </c>
      <c r="Z19">
        <f>HYPERLINK("https://klasma.github.io/Logging_1421/knärot/A 13220-2024 karta knärot.png", "A 13220-2024")</f>
        <v/>
      </c>
      <c r="AA19">
        <f>HYPERLINK("https://klasma.github.io/Logging_1421/klagomål/A 13220-2024 FSC-klagomål.docx", "A 13220-2024")</f>
        <v/>
      </c>
      <c r="AB19">
        <f>HYPERLINK("https://klasma.github.io/Logging_1421/klagomålsmail/A 13220-2024 FSC-klagomål mail.docx", "A 13220-2024")</f>
        <v/>
      </c>
      <c r="AC19">
        <f>HYPERLINK("https://klasma.github.io/Logging_1421/tillsyn/A 13220-2024 tillsynsbegäran.docx", "A 13220-2024")</f>
        <v/>
      </c>
      <c r="AD19">
        <f>HYPERLINK("https://klasma.github.io/Logging_1421/tillsynsmail/A 13220-2024 tillsynsbegäran mail.docx", "A 13220-2024")</f>
        <v/>
      </c>
    </row>
    <row r="20" ht="15" customHeight="1">
      <c r="A20" t="inlineStr">
        <is>
          <t>A 24618-2024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45460</v>
      </c>
      <c r="E20" s="1" t="n">
        <v>46316</v>
      </c>
      <c r="F20" t="inlineStr">
        <is>
          <t>VÄSTRA GÖTALANDS LÄN</t>
        </is>
      </c>
      <c r="G20" t="inlineStr">
        <is>
          <t>ORUST</t>
        </is>
      </c>
      <c r="I20" t="n">
        <v>9.5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HYPERLINK("https://klasma.github.io/Logging_1421/artfynd/A 24618-2024 artfynd.xlsx", "A 24618-2024")</f>
        <v/>
      </c>
      <c r="X20">
        <f>HYPERLINK("https://klasma.github.io/Logging_1421/kartor/A 24618-2024 karta.png", "A 24618-2024")</f>
        <v/>
      </c>
      <c r="Y20">
        <f>HYPERLINK("https://klasma.github.io/Logging_1421/kartor_geotiff/A 24618-2024 georefererad karta.tif", "A 24618-2024")</f>
        <v/>
      </c>
      <c r="AA20">
        <f>HYPERLINK("https://klasma.github.io/Logging_1421/klagomål/A 24618-2024 FSC-klagomål.docx", "A 24618-2024")</f>
        <v/>
      </c>
      <c r="AB20">
        <f>HYPERLINK("https://klasma.github.io/Logging_1421/klagomålsmail/A 24618-2024 FSC-klagomål mail.docx", "A 24618-2024")</f>
        <v/>
      </c>
      <c r="AC20">
        <f>HYPERLINK("https://klasma.github.io/Logging_1421/tillsyn/A 24618-2024 tillsynsbegäran.docx", "A 24618-2024")</f>
        <v/>
      </c>
      <c r="AD20">
        <f>HYPERLINK("https://klasma.github.io/Logging_1421/tillsynsmail/A 24618-2024 tillsynsbegäran mail.docx", "A 24618-2024")</f>
        <v/>
      </c>
    </row>
    <row r="21" ht="15" customHeight="1">
      <c r="A21" t="inlineStr">
        <is>
          <t>A 20709-2023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46316</v>
      </c>
      <c r="F21" t="inlineStr">
        <is>
          <t>VÄSTRA GÖTALANDS LÄN</t>
        </is>
      </c>
      <c r="G21" t="inlineStr">
        <is>
          <t>ORUST</t>
        </is>
      </c>
      <c r="I21" t="n">
        <v>4.3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5</v>
      </c>
      <c r="U21" t="n">
        <v>4</v>
      </c>
      <c r="V21" s="2" t="inlineStr">
        <is>
          <t>Knärot</t>
        </is>
      </c>
      <c r="W21">
        <f>HYPERLINK("https://klasma.github.io/Logging_1421/artfynd/A 20709-2023 artfynd.xlsx", "A 20709-2023")</f>
        <v/>
      </c>
      <c r="X21">
        <f>HYPERLINK("https://klasma.github.io/Logging_1421/kartor/A 20709-2023 karta.png", "A 20709-2023")</f>
        <v/>
      </c>
      <c r="Y21">
        <f>HYPERLINK("https://klasma.github.io/Logging_1421/kartor_geotiff/A 20709-2023 georefererad karta.tif", "A 20709-2023")</f>
        <v/>
      </c>
      <c r="Z21">
        <f>HYPERLINK("https://klasma.github.io/Logging_1421/knärot/A 20709-2023 karta knärot.png", "A 20709-2023")</f>
        <v/>
      </c>
      <c r="AA21">
        <f>HYPERLINK("https://klasma.github.io/Logging_1421/klagomål/A 20709-2023 FSC-klagomål.docx", "A 20709-2023")</f>
        <v/>
      </c>
      <c r="AB21">
        <f>HYPERLINK("https://klasma.github.io/Logging_1421/klagomålsmail/A 20709-2023 FSC-klagomål mail.docx", "A 20709-2023")</f>
        <v/>
      </c>
      <c r="AC21">
        <f>HYPERLINK("https://klasma.github.io/Logging_1421/tillsyn/A 20709-2023 tillsynsbegäran.docx", "A 20709-2023")</f>
        <v/>
      </c>
      <c r="AD21">
        <f>HYPERLINK("https://klasma.github.io/Logging_1421/tillsynsmail/A 20709-2023 tillsynsbegäran mail.docx", "A 20709-2023")</f>
        <v/>
      </c>
    </row>
    <row r="22" ht="15" customHeight="1">
      <c r="A22" t="inlineStr">
        <is>
          <t>A 5617-2024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45334</v>
      </c>
      <c r="E22" s="1" t="n">
        <v>46316</v>
      </c>
      <c r="F22" t="inlineStr">
        <is>
          <t>VÄSTRA GÖTALANDS LÄN</t>
        </is>
      </c>
      <c r="G22" t="inlineStr">
        <is>
          <t>ORUST</t>
        </is>
      </c>
      <c r="I22" t="n">
        <v>2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HYPERLINK("https://klasma.github.io/Logging_1421/artfynd/A 5617-2024 artfynd.xlsx", "A 5617-2024")</f>
        <v/>
      </c>
      <c r="X22">
        <f>HYPERLINK("https://klasma.github.io/Logging_1421/kartor/A 5617-2024 karta.png", "A 5617-2024")</f>
        <v/>
      </c>
      <c r="Y22">
        <f>HYPERLINK("https://klasma.github.io/Logging_1421/kartor_geotiff/A 5617-2024 georefererad karta.tif", "A 5617-2024")</f>
        <v/>
      </c>
      <c r="Z22">
        <f>HYPERLINK("https://klasma.github.io/Logging_1421/knärot/A 5617-2024 karta knärot.png", "A 5617-2024")</f>
        <v/>
      </c>
      <c r="AA22">
        <f>HYPERLINK("https://klasma.github.io/Logging_1421/klagomål/A 5617-2024 FSC-klagomål.docx", "A 5617-2024")</f>
        <v/>
      </c>
      <c r="AB22">
        <f>HYPERLINK("https://klasma.github.io/Logging_1421/klagomålsmail/A 5617-2024 FSC-klagomål mail.docx", "A 5617-2024")</f>
        <v/>
      </c>
      <c r="AC22">
        <f>HYPERLINK("https://klasma.github.io/Logging_1421/tillsyn/A 5617-2024 tillsynsbegäran.docx", "A 5617-2024")</f>
        <v/>
      </c>
      <c r="AD22">
        <f>HYPERLINK("https://klasma.github.io/Logging_1421/tillsynsmail/A 5617-2024 tillsynsbegäran mail.docx", "A 5617-2024")</f>
        <v/>
      </c>
    </row>
    <row r="23" ht="15" customHeight="1">
      <c r="A23" t="inlineStr">
        <is>
          <t>A 44233-2023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45183</v>
      </c>
      <c r="E23" s="1" t="n">
        <v>46316</v>
      </c>
      <c r="F23" t="inlineStr">
        <is>
          <t>VÄSTRA GÖTALANDS LÄN</t>
        </is>
      </c>
      <c r="G23" t="inlineStr">
        <is>
          <t>ORUST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HYPERLINK("https://klasma.github.io/Logging_1421/artfynd/A 44233-2023 artfynd.xlsx", "A 44233-2023")</f>
        <v/>
      </c>
      <c r="X23">
        <f>HYPERLINK("https://klasma.github.io/Logging_1421/kartor/A 44233-2023 karta.png", "A 44233-2023")</f>
        <v/>
      </c>
      <c r="Y23">
        <f>HYPERLINK("https://klasma.github.io/Logging_1421/kartor_geotiff/A 44233-2023 georefererad karta.tif", "A 44233-2023")</f>
        <v/>
      </c>
      <c r="Z23">
        <f>HYPERLINK("https://klasma.github.io/Logging_1421/knärot/A 44233-2023 karta knärot.png", "A 44233-2023")</f>
        <v/>
      </c>
      <c r="AA23">
        <f>HYPERLINK("https://klasma.github.io/Logging_1421/klagomål/A 44233-2023 FSC-klagomål.docx", "A 44233-2023")</f>
        <v/>
      </c>
      <c r="AB23">
        <f>HYPERLINK("https://klasma.github.io/Logging_1421/klagomålsmail/A 44233-2023 FSC-klagomål mail.docx", "A 44233-2023")</f>
        <v/>
      </c>
      <c r="AC23">
        <f>HYPERLINK("https://klasma.github.io/Logging_1421/tillsyn/A 44233-2023 tillsynsbegäran.docx", "A 44233-2023")</f>
        <v/>
      </c>
      <c r="AD23">
        <f>HYPERLINK("https://klasma.github.io/Logging_1421/tillsynsmail/A 44233-2023 tillsynsbegäran mail.docx", "A 44233-2023")</f>
        <v/>
      </c>
    </row>
    <row r="24" ht="15" customHeight="1">
      <c r="A24" t="inlineStr">
        <is>
          <t>A 5634-2025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45693</v>
      </c>
      <c r="E24" s="1" t="n">
        <v>46316</v>
      </c>
      <c r="F24" t="inlineStr">
        <is>
          <t>VÄSTRA GÖTALANDS LÄN</t>
        </is>
      </c>
      <c r="G24" t="inlineStr">
        <is>
          <t>ORUST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Knärot</t>
        </is>
      </c>
      <c r="W24">
        <f>HYPERLINK("https://klasma.github.io/Logging_1421/artfynd/A 5634-2025 artfynd.xlsx", "A 5634-2025")</f>
        <v/>
      </c>
      <c r="X24">
        <f>HYPERLINK("https://klasma.github.io/Logging_1421/kartor/A 5634-2025 karta.png", "A 5634-2025")</f>
        <v/>
      </c>
      <c r="Y24">
        <f>HYPERLINK("https://klasma.github.io/Logging_1421/kartor_geotiff/A 5634-2025 georefererad karta.tif", "A 5634-2025")</f>
        <v/>
      </c>
      <c r="Z24">
        <f>HYPERLINK("https://klasma.github.io/Logging_1421/knärot/A 5634-2025 karta knärot.png", "A 5634-2025")</f>
        <v/>
      </c>
      <c r="AA24">
        <f>HYPERLINK("https://klasma.github.io/Logging_1421/klagomål/A 5634-2025 FSC-klagomål.docx", "A 5634-2025")</f>
        <v/>
      </c>
      <c r="AB24">
        <f>HYPERLINK("https://klasma.github.io/Logging_1421/klagomålsmail/A 5634-2025 FSC-klagomål mail.docx", "A 5634-2025")</f>
        <v/>
      </c>
      <c r="AC24">
        <f>HYPERLINK("https://klasma.github.io/Logging_1421/tillsyn/A 5634-2025 tillsynsbegäran.docx", "A 5634-2025")</f>
        <v/>
      </c>
      <c r="AD24">
        <f>HYPERLINK("https://klasma.github.io/Logging_1421/tillsynsmail/A 5634-2025 tillsynsbegäran mail.docx", "A 5634-2025")</f>
        <v/>
      </c>
    </row>
    <row r="25" ht="15" customHeight="1">
      <c r="A25" t="inlineStr">
        <is>
          <t>A 20086-2023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45054</v>
      </c>
      <c r="E25" s="1" t="n">
        <v>46316</v>
      </c>
      <c r="F25" t="inlineStr">
        <is>
          <t>VÄSTRA GÖTALANDS LÄN</t>
        </is>
      </c>
      <c r="G25" t="inlineStr">
        <is>
          <t>ORUST</t>
        </is>
      </c>
      <c r="I25" t="n">
        <v>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HYPERLINK("https://klasma.github.io/Logging_1421/artfynd/A 20086-2023 artfynd.xlsx", "A 20086-2023")</f>
        <v/>
      </c>
      <c r="X25">
        <f>HYPERLINK("https://klasma.github.io/Logging_1421/kartor/A 20086-2023 karta.png", "A 20086-2023")</f>
        <v/>
      </c>
      <c r="Y25">
        <f>HYPERLINK("https://klasma.github.io/Logging_1421/kartor_geotiff/A 20086-2023 georefererad karta.tif", "A 20086-2023")</f>
        <v/>
      </c>
      <c r="Z25">
        <f>HYPERLINK("https://klasma.github.io/Logging_1421/knärot/A 20086-2023 karta knärot.png", "A 20086-2023")</f>
        <v/>
      </c>
      <c r="AA25">
        <f>HYPERLINK("https://klasma.github.io/Logging_1421/klagomål/A 20086-2023 FSC-klagomål.docx", "A 20086-2023")</f>
        <v/>
      </c>
      <c r="AB25">
        <f>HYPERLINK("https://klasma.github.io/Logging_1421/klagomålsmail/A 20086-2023 FSC-klagomål mail.docx", "A 20086-2023")</f>
        <v/>
      </c>
      <c r="AC25">
        <f>HYPERLINK("https://klasma.github.io/Logging_1421/tillsyn/A 20086-2023 tillsynsbegäran.docx", "A 20086-2023")</f>
        <v/>
      </c>
      <c r="AD25">
        <f>HYPERLINK("https://klasma.github.io/Logging_1421/tillsynsmail/A 20086-2023 tillsynsbegäran mail.docx", "A 20086-2023")</f>
        <v/>
      </c>
    </row>
    <row r="26" ht="15" customHeight="1">
      <c r="A26" t="inlineStr">
        <is>
          <t>A 13243-2023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45002</v>
      </c>
      <c r="E26" s="1" t="n">
        <v>46316</v>
      </c>
      <c r="F26" t="inlineStr">
        <is>
          <t>VÄSTRA GÖTALANDS LÄN</t>
        </is>
      </c>
      <c r="G26" t="inlineStr">
        <is>
          <t>ORUST</t>
        </is>
      </c>
      <c r="I26" t="n">
        <v>4.8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HYPERLINK("https://klasma.github.io/Logging_1421/artfynd/A 13243-2023 artfynd.xlsx", "A 13243-2023")</f>
        <v/>
      </c>
      <c r="X26">
        <f>HYPERLINK("https://klasma.github.io/Logging_1421/kartor/A 13243-2023 karta.png", "A 13243-2023")</f>
        <v/>
      </c>
      <c r="Y26">
        <f>HYPERLINK("https://klasma.github.io/Logging_1421/kartor_geotiff/A 13243-2023 georefererad karta.tif", "A 13243-2023")</f>
        <v/>
      </c>
      <c r="AA26">
        <f>HYPERLINK("https://klasma.github.io/Logging_1421/klagomål/A 13243-2023 FSC-klagomål.docx", "A 13243-2023")</f>
        <v/>
      </c>
      <c r="AB26">
        <f>HYPERLINK("https://klasma.github.io/Logging_1421/klagomålsmail/A 13243-2023 FSC-klagomål mail.docx", "A 13243-2023")</f>
        <v/>
      </c>
      <c r="AC26">
        <f>HYPERLINK("https://klasma.github.io/Logging_1421/tillsyn/A 13243-2023 tillsynsbegäran.docx", "A 13243-2023")</f>
        <v/>
      </c>
      <c r="AD26">
        <f>HYPERLINK("https://klasma.github.io/Logging_1421/tillsynsmail/A 13243-2023 tillsynsbegäran mail.docx", "A 13243-2023")</f>
        <v/>
      </c>
    </row>
    <row r="27" ht="15" customHeight="1">
      <c r="A27" t="inlineStr">
        <is>
          <t>S 1552-2024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45425</v>
      </c>
      <c r="E27" s="1" t="n">
        <v>46316</v>
      </c>
      <c r="F27" t="inlineStr">
        <is>
          <t>VÄSTRA GÖTALANDS LÄN</t>
        </is>
      </c>
      <c r="G27" t="inlineStr">
        <is>
          <t>ORUST</t>
        </is>
      </c>
      <c r="I27" t="n">
        <v>1.4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HYPERLINK("https://klasma.github.io/Logging_1421/artfynd/S 1552-2024 artfynd.xlsx", "S 1552-2024")</f>
        <v/>
      </c>
      <c r="X27">
        <f>HYPERLINK("https://klasma.github.io/Logging_1421/kartor/S 1552-2024 karta.png", "S 1552-2024")</f>
        <v/>
      </c>
      <c r="Y27">
        <f>HYPERLINK("https://klasma.github.io/Logging_1421/kartor_geotiff/S 1552-2024 georefererad karta.tif", "S 1552-2024")</f>
        <v/>
      </c>
      <c r="Z27">
        <f>HYPERLINK("https://klasma.github.io/Logging_1421/knärot/S 1552-2024 karta knärot.png", "S 1552-2024")</f>
        <v/>
      </c>
      <c r="AA27">
        <f>HYPERLINK("https://klasma.github.io/Logging_1421/klagomål/S 1552-2024 FSC-klagomål.docx", "S 1552-2024")</f>
        <v/>
      </c>
      <c r="AB27">
        <f>HYPERLINK("https://klasma.github.io/Logging_1421/klagomålsmail/S 1552-2024 FSC-klagomål mail.docx", "S 1552-2024")</f>
        <v/>
      </c>
      <c r="AC27">
        <f>HYPERLINK("https://klasma.github.io/Logging_1421/tillsyn/S 1552-2024 tillsynsbegäran.docx", "S 1552-2024")</f>
        <v/>
      </c>
      <c r="AD27">
        <f>HYPERLINK("https://klasma.github.io/Logging_1421/tillsynsmail/S 1552-2024 tillsynsbegäran mail.docx", "S 1552-2024")</f>
        <v/>
      </c>
    </row>
    <row r="28" ht="15" customHeight="1">
      <c r="A28" t="inlineStr">
        <is>
          <t>A 33954-2022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46316</v>
      </c>
      <c r="F28" t="inlineStr">
        <is>
          <t>VÄSTRA GÖTALANDS LÄN</t>
        </is>
      </c>
      <c r="G28" t="inlineStr">
        <is>
          <t>ORUST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41592-2022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44827</v>
      </c>
      <c r="E29" s="1" t="n">
        <v>46316</v>
      </c>
      <c r="F29" t="inlineStr">
        <is>
          <t>VÄSTRA GÖTALANDS LÄN</t>
        </is>
      </c>
      <c r="G29" t="inlineStr">
        <is>
          <t>ORUST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44566</v>
      </c>
      <c r="E30" s="1" t="n">
        <v>46316</v>
      </c>
      <c r="F30" t="inlineStr">
        <is>
          <t>VÄSTRA GÖTALANDS LÄN</t>
        </is>
      </c>
      <c r="G30" t="inlineStr">
        <is>
          <t>ORUST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55791-2022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44888</v>
      </c>
      <c r="E31" s="1" t="n">
        <v>46316</v>
      </c>
      <c r="F31" t="inlineStr">
        <is>
          <t>VÄSTRA GÖTALANDS LÄN</t>
        </is>
      </c>
      <c r="G31" t="inlineStr">
        <is>
          <t>ORUST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46316</v>
      </c>
      <c r="F32" t="inlineStr">
        <is>
          <t>VÄSTRA GÖTALANDS LÄN</t>
        </is>
      </c>
      <c r="G32" t="inlineStr">
        <is>
          <t>ORUST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15006-2022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44657</v>
      </c>
      <c r="E33" s="1" t="n">
        <v>46316</v>
      </c>
      <c r="F33" t="inlineStr">
        <is>
          <t>VÄSTRA GÖTALANDS LÄN</t>
        </is>
      </c>
      <c r="G33" t="inlineStr">
        <is>
          <t>ORUST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8286-2022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44610</v>
      </c>
      <c r="E34" s="1" t="n">
        <v>46316</v>
      </c>
      <c r="F34" t="inlineStr">
        <is>
          <t>VÄSTRA GÖTALANDS LÄN</t>
        </is>
      </c>
      <c r="G34" t="inlineStr">
        <is>
          <t>ORUST</t>
        </is>
      </c>
      <c r="I34" t="n">
        <v>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73292-2021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44550</v>
      </c>
      <c r="E35" s="1" t="n">
        <v>46316</v>
      </c>
      <c r="F35" t="inlineStr">
        <is>
          <t>VÄSTRA GÖTALANDS LÄN</t>
        </is>
      </c>
      <c r="G35" t="inlineStr">
        <is>
          <t>ORUST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19784-2022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46316</v>
      </c>
      <c r="F36" t="inlineStr">
        <is>
          <t>VÄSTRA GÖTALANDS LÄN</t>
        </is>
      </c>
      <c r="G36" t="inlineStr">
        <is>
          <t>ORUST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46316</v>
      </c>
      <c r="F37" t="inlineStr">
        <is>
          <t>VÄSTRA GÖTALANDS LÄN</t>
        </is>
      </c>
      <c r="G37" t="inlineStr">
        <is>
          <t>ORUST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52012-2022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44872</v>
      </c>
      <c r="E38" s="1" t="n">
        <v>46316</v>
      </c>
      <c r="F38" t="inlineStr">
        <is>
          <t>VÄSTRA GÖTALANDS LÄN</t>
        </is>
      </c>
      <c r="G38" t="inlineStr">
        <is>
          <t>ORUST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69196-2021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46316</v>
      </c>
      <c r="F39" t="inlineStr">
        <is>
          <t>VÄSTRA GÖTALANDS LÄN</t>
        </is>
      </c>
      <c r="G39" t="inlineStr">
        <is>
          <t>ORUST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62369-2023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45268</v>
      </c>
      <c r="E40" s="1" t="n">
        <v>46316</v>
      </c>
      <c r="F40" t="inlineStr">
        <is>
          <t>VÄSTRA GÖTALANDS LÄN</t>
        </is>
      </c>
      <c r="G40" t="inlineStr">
        <is>
          <t>ORUST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34217-2022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44791</v>
      </c>
      <c r="E41" s="1" t="n">
        <v>46316</v>
      </c>
      <c r="F41" t="inlineStr">
        <is>
          <t>VÄSTRA GÖTALANDS LÄN</t>
        </is>
      </c>
      <c r="G41" t="inlineStr">
        <is>
          <t>ORUST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22750-2024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45448</v>
      </c>
      <c r="E42" s="1" t="n">
        <v>46316</v>
      </c>
      <c r="F42" t="inlineStr">
        <is>
          <t>VÄSTRA GÖTALANDS LÄN</t>
        </is>
      </c>
      <c r="G42" t="inlineStr">
        <is>
          <t>ORUST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57877-2022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44899</v>
      </c>
      <c r="E43" s="1" t="n">
        <v>46316</v>
      </c>
      <c r="F43" t="inlineStr">
        <is>
          <t>VÄSTRA GÖTALANDS LÄN</t>
        </is>
      </c>
      <c r="G43" t="inlineStr">
        <is>
          <t>ORUST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36999-2023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45155</v>
      </c>
      <c r="E44" s="1" t="n">
        <v>46316</v>
      </c>
      <c r="F44" t="inlineStr">
        <is>
          <t>VÄSTRA GÖTALANDS LÄN</t>
        </is>
      </c>
      <c r="G44" t="inlineStr">
        <is>
          <t>ORUST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19005-2023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45045</v>
      </c>
      <c r="E45" s="1" t="n">
        <v>46316</v>
      </c>
      <c r="F45" t="inlineStr">
        <is>
          <t>VÄSTRA GÖTALANDS LÄN</t>
        </is>
      </c>
      <c r="G45" t="inlineStr">
        <is>
          <t>ORUST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59309-2023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45253</v>
      </c>
      <c r="E46" s="1" t="n">
        <v>46316</v>
      </c>
      <c r="F46" t="inlineStr">
        <is>
          <t>VÄSTRA GÖTALANDS LÄN</t>
        </is>
      </c>
      <c r="G46" t="inlineStr">
        <is>
          <t>ORUST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22959-2025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45790</v>
      </c>
      <c r="E47" s="1" t="n">
        <v>46316</v>
      </c>
      <c r="F47" t="inlineStr">
        <is>
          <t>VÄSTRA GÖTALANDS LÄN</t>
        </is>
      </c>
      <c r="G47" t="inlineStr">
        <is>
          <t>ORUST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14760-2025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45742</v>
      </c>
      <c r="E48" s="1" t="n">
        <v>46316</v>
      </c>
      <c r="F48" t="inlineStr">
        <is>
          <t>VÄSTRA GÖTALANDS LÄN</t>
        </is>
      </c>
      <c r="G48" t="inlineStr">
        <is>
          <t>ORUST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9937-2025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45718</v>
      </c>
      <c r="E49" s="1" t="n">
        <v>46316</v>
      </c>
      <c r="F49" t="inlineStr">
        <is>
          <t>VÄSTRA GÖTALANDS LÄN</t>
        </is>
      </c>
      <c r="G49" t="inlineStr">
        <is>
          <t>ORUST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13521-2025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45736</v>
      </c>
      <c r="E50" s="1" t="n">
        <v>46316</v>
      </c>
      <c r="F50" t="inlineStr">
        <is>
          <t>VÄSTRA GÖTALANDS LÄN</t>
        </is>
      </c>
      <c r="G50" t="inlineStr">
        <is>
          <t>ORUST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13536-2025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45736</v>
      </c>
      <c r="E51" s="1" t="n">
        <v>46316</v>
      </c>
      <c r="F51" t="inlineStr">
        <is>
          <t>VÄSTRA GÖTALANDS LÄN</t>
        </is>
      </c>
      <c r="G51" t="inlineStr">
        <is>
          <t>ORUST</t>
        </is>
      </c>
      <c r="I51" t="n">
        <v>0.1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24321-2025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45797</v>
      </c>
      <c r="E52" s="1" t="n">
        <v>46316</v>
      </c>
      <c r="F52" t="inlineStr">
        <is>
          <t>VÄSTRA GÖTALANDS LÄN</t>
        </is>
      </c>
      <c r="G52" t="inlineStr">
        <is>
          <t>ORUST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34046-2024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45523</v>
      </c>
      <c r="E53" s="1" t="n">
        <v>46316</v>
      </c>
      <c r="F53" t="inlineStr">
        <is>
          <t>VÄSTRA GÖTALANDS LÄN</t>
        </is>
      </c>
      <c r="G53" t="inlineStr">
        <is>
          <t>ORUST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44754-2024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45574</v>
      </c>
      <c r="E54" s="1" t="n">
        <v>46316</v>
      </c>
      <c r="F54" t="inlineStr">
        <is>
          <t>VÄSTRA GÖTALANDS LÄN</t>
        </is>
      </c>
      <c r="G54" t="inlineStr">
        <is>
          <t>ORUST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55777-2022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44888</v>
      </c>
      <c r="E55" s="1" t="n">
        <v>46316</v>
      </c>
      <c r="F55" t="inlineStr">
        <is>
          <t>VÄSTRA GÖTALANDS LÄN</t>
        </is>
      </c>
      <c r="G55" t="inlineStr">
        <is>
          <t>ORUST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44417-2024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45573</v>
      </c>
      <c r="E56" s="1" t="n">
        <v>46316</v>
      </c>
      <c r="F56" t="inlineStr">
        <is>
          <t>VÄSTRA GÖTALANDS LÄN</t>
        </is>
      </c>
      <c r="G56" t="inlineStr">
        <is>
          <t>ORUST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27555-2025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45813</v>
      </c>
      <c r="E57" s="1" t="n">
        <v>46316</v>
      </c>
      <c r="F57" t="inlineStr">
        <is>
          <t>VÄSTRA GÖTALANDS LÄN</t>
        </is>
      </c>
      <c r="G57" t="inlineStr">
        <is>
          <t>ORUST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41063-2025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45898</v>
      </c>
      <c r="E58" s="1" t="n">
        <v>46316</v>
      </c>
      <c r="F58" t="inlineStr">
        <is>
          <t>VÄSTRA GÖTALANDS LÄN</t>
        </is>
      </c>
      <c r="G58" t="inlineStr">
        <is>
          <t>ORUST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47884-2024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45588</v>
      </c>
      <c r="E59" s="1" t="n">
        <v>46316</v>
      </c>
      <c r="F59" t="inlineStr">
        <is>
          <t>VÄSTRA GÖTALANDS LÄN</t>
        </is>
      </c>
      <c r="G59" t="inlineStr">
        <is>
          <t>ORUST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41881-2025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45903</v>
      </c>
      <c r="E60" s="1" t="n">
        <v>46316</v>
      </c>
      <c r="F60" t="inlineStr">
        <is>
          <t>VÄSTRA GÖTALANDS LÄN</t>
        </is>
      </c>
      <c r="G60" t="inlineStr">
        <is>
          <t>ORUST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54279-2024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45616</v>
      </c>
      <c r="E61" s="1" t="n">
        <v>46316</v>
      </c>
      <c r="F61" t="inlineStr">
        <is>
          <t>VÄSTRA GÖTALANDS LÄN</t>
        </is>
      </c>
      <c r="G61" t="inlineStr">
        <is>
          <t>ORUST</t>
        </is>
      </c>
      <c r="I61" t="n">
        <v>6.9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42457-2025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45905</v>
      </c>
      <c r="E62" s="1" t="n">
        <v>46316</v>
      </c>
      <c r="F62" t="inlineStr">
        <is>
          <t>VÄSTRA GÖTALANDS LÄN</t>
        </is>
      </c>
      <c r="G62" t="inlineStr">
        <is>
          <t>ORUST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2435-2026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46036</v>
      </c>
      <c r="E63" s="1" t="n">
        <v>46316</v>
      </c>
      <c r="F63" t="inlineStr">
        <is>
          <t>VÄSTRA GÖTALANDS LÄN</t>
        </is>
      </c>
      <c r="G63" t="inlineStr">
        <is>
          <t>ORUST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2436-2026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46036</v>
      </c>
      <c r="E64" s="1" t="n">
        <v>46316</v>
      </c>
      <c r="F64" t="inlineStr">
        <is>
          <t>VÄSTRA GÖTALANDS LÄN</t>
        </is>
      </c>
      <c r="G64" t="inlineStr">
        <is>
          <t>ORUST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4114-2026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46044</v>
      </c>
      <c r="E65" s="1" t="n">
        <v>46316</v>
      </c>
      <c r="F65" t="inlineStr">
        <is>
          <t>VÄSTRA GÖTALANDS LÄN</t>
        </is>
      </c>
      <c r="G65" t="inlineStr">
        <is>
          <t>ORUST</t>
        </is>
      </c>
      <c r="I65" t="n">
        <v>7.1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43752-2023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45187</v>
      </c>
      <c r="E66" s="1" t="n">
        <v>46316</v>
      </c>
      <c r="F66" t="inlineStr">
        <is>
          <t>VÄSTRA GÖTALANDS LÄN</t>
        </is>
      </c>
      <c r="G66" t="inlineStr">
        <is>
          <t>ORUST</t>
        </is>
      </c>
      <c r="I66" t="n">
        <v>9.300000000000001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30440-2024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45491</v>
      </c>
      <c r="E67" s="1" t="n">
        <v>46316</v>
      </c>
      <c r="F67" t="inlineStr">
        <is>
          <t>VÄSTRA GÖTALANDS LÄN</t>
        </is>
      </c>
      <c r="G67" t="inlineStr">
        <is>
          <t>ORUST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6739-2026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46056</v>
      </c>
      <c r="E68" s="1" t="n">
        <v>46316</v>
      </c>
      <c r="F68" t="inlineStr">
        <is>
          <t>VÄSTRA GÖTALANDS LÄN</t>
        </is>
      </c>
      <c r="G68" t="inlineStr">
        <is>
          <t>ORUST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46316</v>
      </c>
      <c r="F69" t="inlineStr">
        <is>
          <t>VÄSTRA GÖTALANDS LÄN</t>
        </is>
      </c>
      <c r="G69" t="inlineStr">
        <is>
          <t>ORUST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9194-2026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46070</v>
      </c>
      <c r="E70" s="1" t="n">
        <v>46316</v>
      </c>
      <c r="F70" t="inlineStr">
        <is>
          <t>VÄSTRA GÖTALANDS LÄN</t>
        </is>
      </c>
      <c r="G70" t="inlineStr">
        <is>
          <t>ORUST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9344-2026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46070</v>
      </c>
      <c r="E71" s="1" t="n">
        <v>46316</v>
      </c>
      <c r="F71" t="inlineStr">
        <is>
          <t>VÄSTRA GÖTALANDS LÄN</t>
        </is>
      </c>
      <c r="G71" t="inlineStr">
        <is>
          <t>ORUST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48419-2025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45934</v>
      </c>
      <c r="E72" s="1" t="n">
        <v>46316</v>
      </c>
      <c r="F72" t="inlineStr">
        <is>
          <t>VÄSTRA GÖTALANDS LÄN</t>
        </is>
      </c>
      <c r="G72" t="inlineStr">
        <is>
          <t>ORUST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10118-2026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46075</v>
      </c>
      <c r="E73" s="1" t="n">
        <v>46316</v>
      </c>
      <c r="F73" t="inlineStr">
        <is>
          <t>VÄSTRA GÖTALANDS LÄN</t>
        </is>
      </c>
      <c r="G73" t="inlineStr">
        <is>
          <t>ORUST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49365-2025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45938</v>
      </c>
      <c r="E74" s="1" t="n">
        <v>46316</v>
      </c>
      <c r="F74" t="inlineStr">
        <is>
          <t>VÄSTRA GÖTALANDS LÄN</t>
        </is>
      </c>
      <c r="G74" t="inlineStr">
        <is>
          <t>ORUST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12087-2026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46086</v>
      </c>
      <c r="E75" s="1" t="n">
        <v>46316</v>
      </c>
      <c r="F75" t="inlineStr">
        <is>
          <t>VÄSTRA GÖTALANDS LÄN</t>
        </is>
      </c>
      <c r="G75" t="inlineStr">
        <is>
          <t>ORUST</t>
        </is>
      </c>
      <c r="I75" t="n">
        <v>7.6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71890-2021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44543</v>
      </c>
      <c r="E76" s="1" t="n">
        <v>46316</v>
      </c>
      <c r="F76" t="inlineStr">
        <is>
          <t>VÄSTRA GÖTALANDS LÄN</t>
        </is>
      </c>
      <c r="G76" t="inlineStr">
        <is>
          <t>ORUST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6957-2024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45343</v>
      </c>
      <c r="E77" s="1" t="n">
        <v>46316</v>
      </c>
      <c r="F77" t="inlineStr">
        <is>
          <t>VÄSTRA GÖTALANDS LÄN</t>
        </is>
      </c>
      <c r="G77" t="inlineStr">
        <is>
          <t>ORUST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51993-2022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44872</v>
      </c>
      <c r="E78" s="1" t="n">
        <v>46316</v>
      </c>
      <c r="F78" t="inlineStr">
        <is>
          <t>VÄSTRA GÖTALANDS LÄN</t>
        </is>
      </c>
      <c r="G78" t="inlineStr">
        <is>
          <t>ORUST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45005</v>
      </c>
      <c r="E79" s="1" t="n">
        <v>46316</v>
      </c>
      <c r="F79" t="inlineStr">
        <is>
          <t>VÄSTRA GÖTALANDS LÄN</t>
        </is>
      </c>
      <c r="G79" t="inlineStr">
        <is>
          <t>ORUST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25925-2024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45467</v>
      </c>
      <c r="E80" s="1" t="n">
        <v>46316</v>
      </c>
      <c r="F80" t="inlineStr">
        <is>
          <t>VÄSTRA GÖTALANDS LÄN</t>
        </is>
      </c>
      <c r="G80" t="inlineStr">
        <is>
          <t>ORUST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17426-2026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46120</v>
      </c>
      <c r="E81" s="1" t="n">
        <v>46316</v>
      </c>
      <c r="F81" t="inlineStr">
        <is>
          <t>VÄSTRA GÖTALANDS LÄN</t>
        </is>
      </c>
      <c r="G81" t="inlineStr">
        <is>
          <t>ORUST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33300-2025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45840</v>
      </c>
      <c r="E82" s="1" t="n">
        <v>46316</v>
      </c>
      <c r="F82" t="inlineStr">
        <is>
          <t>VÄSTRA GÖTALANDS LÄN</t>
        </is>
      </c>
      <c r="G82" t="inlineStr">
        <is>
          <t>ORUST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33295-2025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45840</v>
      </c>
      <c r="E83" s="1" t="n">
        <v>46316</v>
      </c>
      <c r="F83" t="inlineStr">
        <is>
          <t>VÄSTRA GÖTALANDS LÄN</t>
        </is>
      </c>
      <c r="G83" t="inlineStr">
        <is>
          <t>ORUST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33299-2025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45840</v>
      </c>
      <c r="E84" s="1" t="n">
        <v>46316</v>
      </c>
      <c r="F84" t="inlineStr">
        <is>
          <t>VÄSTRA GÖTALANDS LÄN</t>
        </is>
      </c>
      <c r="G84" t="inlineStr">
        <is>
          <t>ORUST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58853-2025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45987</v>
      </c>
      <c r="E85" s="1" t="n">
        <v>46316</v>
      </c>
      <c r="F85" t="inlineStr">
        <is>
          <t>VÄSTRA GÖTALANDS LÄN</t>
        </is>
      </c>
      <c r="G85" t="inlineStr">
        <is>
          <t>ORUST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58852-2025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45987</v>
      </c>
      <c r="E86" s="1" t="n">
        <v>46316</v>
      </c>
      <c r="F86" t="inlineStr">
        <is>
          <t>VÄSTRA GÖTALANDS LÄN</t>
        </is>
      </c>
      <c r="G86" t="inlineStr">
        <is>
          <t>ORUST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34502-2025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45847</v>
      </c>
      <c r="E87" s="1" t="n">
        <v>46316</v>
      </c>
      <c r="F87" t="inlineStr">
        <is>
          <t>VÄSTRA GÖTALANDS LÄN</t>
        </is>
      </c>
      <c r="G87" t="inlineStr">
        <is>
          <t>ORUST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62516-2022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44924</v>
      </c>
      <c r="E88" s="1" t="n">
        <v>46316</v>
      </c>
      <c r="F88" t="inlineStr">
        <is>
          <t>VÄSTRA GÖTALANDS LÄN</t>
        </is>
      </c>
      <c r="G88" t="inlineStr">
        <is>
          <t>ORUST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59834-2025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45992</v>
      </c>
      <c r="E89" s="1" t="n">
        <v>46316</v>
      </c>
      <c r="F89" t="inlineStr">
        <is>
          <t>VÄSTRA GÖTALANDS LÄN</t>
        </is>
      </c>
      <c r="G89" t="inlineStr">
        <is>
          <t>ORUST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61319-2025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46000</v>
      </c>
      <c r="E90" s="1" t="n">
        <v>46316</v>
      </c>
      <c r="F90" t="inlineStr">
        <is>
          <t>VÄSTRA GÖTALANDS LÄN</t>
        </is>
      </c>
      <c r="G90" t="inlineStr">
        <is>
          <t>ORUST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23258-2025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45791</v>
      </c>
      <c r="E91" s="1" t="n">
        <v>46316</v>
      </c>
      <c r="F91" t="inlineStr">
        <is>
          <t>VÄSTRA GÖTALANDS LÄN</t>
        </is>
      </c>
      <c r="G91" t="inlineStr">
        <is>
          <t>ORUST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5926-2024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45336</v>
      </c>
      <c r="E92" s="1" t="n">
        <v>46316</v>
      </c>
      <c r="F92" t="inlineStr">
        <is>
          <t>VÄSTRA GÖTALANDS LÄN</t>
        </is>
      </c>
      <c r="G92" t="inlineStr">
        <is>
          <t>ORUST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34500-2025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45847</v>
      </c>
      <c r="E93" s="1" t="n">
        <v>46316</v>
      </c>
      <c r="F93" t="inlineStr">
        <is>
          <t>VÄSTRA GÖTALANDS LÄN</t>
        </is>
      </c>
      <c r="G93" t="inlineStr">
        <is>
          <t>ORUST</t>
        </is>
      </c>
      <c r="I93" t="n">
        <v>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27277-2025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45812</v>
      </c>
      <c r="E94" s="1" t="n">
        <v>46316</v>
      </c>
      <c r="F94" t="inlineStr">
        <is>
          <t>VÄSTRA GÖTALANDS LÄN</t>
        </is>
      </c>
      <c r="G94" t="inlineStr">
        <is>
          <t>ORUST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40328-2025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45895</v>
      </c>
      <c r="E95" s="1" t="n">
        <v>46316</v>
      </c>
      <c r="F95" t="inlineStr">
        <is>
          <t>VÄSTRA GÖTALANDS LÄN</t>
        </is>
      </c>
      <c r="G95" t="inlineStr">
        <is>
          <t>ORUST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36722-2025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45872</v>
      </c>
      <c r="E96" s="1" t="n">
        <v>46316</v>
      </c>
      <c r="F96" t="inlineStr">
        <is>
          <t>VÄSTRA GÖTALANDS LÄN</t>
        </is>
      </c>
      <c r="G96" t="inlineStr">
        <is>
          <t>ORUST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33296-2025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45840</v>
      </c>
      <c r="E97" s="1" t="n">
        <v>46316</v>
      </c>
      <c r="F97" t="inlineStr">
        <is>
          <t>VÄSTRA GÖTALANDS LÄN</t>
        </is>
      </c>
      <c r="G97" t="inlineStr">
        <is>
          <t>ORUST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20089-2025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45771</v>
      </c>
      <c r="E98" s="1" t="n">
        <v>46316</v>
      </c>
      <c r="F98" t="inlineStr">
        <is>
          <t>VÄSTRA GÖTALANDS LÄN</t>
        </is>
      </c>
      <c r="G98" t="inlineStr">
        <is>
          <t>ORUST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61302-2024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45645</v>
      </c>
      <c r="E99" s="1" t="n">
        <v>46316</v>
      </c>
      <c r="F99" t="inlineStr">
        <is>
          <t>VÄSTRA GÖTALANDS LÄN</t>
        </is>
      </c>
      <c r="G99" t="inlineStr">
        <is>
          <t>ORUST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68727-2021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44529</v>
      </c>
      <c r="E100" s="1" t="n">
        <v>46316</v>
      </c>
      <c r="F100" t="inlineStr">
        <is>
          <t>VÄSTRA GÖTALANDS LÄN</t>
        </is>
      </c>
      <c r="G100" t="inlineStr">
        <is>
          <t>ORUST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45334</v>
      </c>
      <c r="E101" s="1" t="n">
        <v>46316</v>
      </c>
      <c r="F101" t="inlineStr">
        <is>
          <t>VÄSTRA GÖTALANDS LÄN</t>
        </is>
      </c>
      <c r="G101" t="inlineStr">
        <is>
          <t>ORUST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34380-2022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44792</v>
      </c>
      <c r="E102" s="1" t="n">
        <v>46316</v>
      </c>
      <c r="F102" t="inlineStr">
        <is>
          <t>VÄSTRA GÖTALANDS LÄN</t>
        </is>
      </c>
      <c r="G102" t="inlineStr">
        <is>
          <t>ORUST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50532-2024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45601</v>
      </c>
      <c r="E103" s="1" t="n">
        <v>46316</v>
      </c>
      <c r="F103" t="inlineStr">
        <is>
          <t>VÄSTRA GÖTALANDS LÄN</t>
        </is>
      </c>
      <c r="G103" t="inlineStr">
        <is>
          <t>ORUST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54128-2025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45964</v>
      </c>
      <c r="E104" s="1" t="n">
        <v>46316</v>
      </c>
      <c r="F104" t="inlineStr">
        <is>
          <t>VÄSTRA GÖTALANDS LÄN</t>
        </is>
      </c>
      <c r="G104" t="inlineStr">
        <is>
          <t>ORUST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1288-2025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45667</v>
      </c>
      <c r="E105" s="1" t="n">
        <v>46316</v>
      </c>
      <c r="F105" t="inlineStr">
        <is>
          <t>VÄSTRA GÖTALANDS LÄN</t>
        </is>
      </c>
      <c r="G105" t="inlineStr">
        <is>
          <t>ORUST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13377-2023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45005</v>
      </c>
      <c r="E106" s="1" t="n">
        <v>46316</v>
      </c>
      <c r="F106" t="inlineStr">
        <is>
          <t>VÄSTRA GÖTALANDS LÄN</t>
        </is>
      </c>
      <c r="G106" t="inlineStr">
        <is>
          <t>ORUST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37130-2024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45539</v>
      </c>
      <c r="E107" s="1" t="n">
        <v>46316</v>
      </c>
      <c r="F107" t="inlineStr">
        <is>
          <t>VÄSTRA GÖTALANDS LÄN</t>
        </is>
      </c>
      <c r="G107" t="inlineStr">
        <is>
          <t>ORUST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59915-2024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45641</v>
      </c>
      <c r="E108" s="1" t="n">
        <v>46316</v>
      </c>
      <c r="F108" t="inlineStr">
        <is>
          <t>VÄSTRA GÖTALANDS LÄN</t>
        </is>
      </c>
      <c r="G108" t="inlineStr">
        <is>
          <t>ORUST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42712-2023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45181</v>
      </c>
      <c r="E109" s="1" t="n">
        <v>46316</v>
      </c>
      <c r="F109" t="inlineStr">
        <is>
          <t>VÄSTRA GÖTALANDS LÄN</t>
        </is>
      </c>
      <c r="G109" t="inlineStr">
        <is>
          <t>ORUST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50562-2024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45601</v>
      </c>
      <c r="E110" s="1" t="n">
        <v>46316</v>
      </c>
      <c r="F110" t="inlineStr">
        <is>
          <t>VÄSTRA GÖTALANDS LÄN</t>
        </is>
      </c>
      <c r="G110" t="inlineStr">
        <is>
          <t>ORUST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14609-2024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45396</v>
      </c>
      <c r="E111" s="1" t="n">
        <v>46316</v>
      </c>
      <c r="F111" t="inlineStr">
        <is>
          <t>VÄSTRA GÖTALANDS LÄN</t>
        </is>
      </c>
      <c r="G111" t="inlineStr">
        <is>
          <t>ORUST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20131-2025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45772</v>
      </c>
      <c r="E112" s="1" t="n">
        <v>46316</v>
      </c>
      <c r="F112" t="inlineStr">
        <is>
          <t>VÄSTRA GÖTALANDS LÄN</t>
        </is>
      </c>
      <c r="G112" t="inlineStr">
        <is>
          <t>ORUST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5454-2025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45692</v>
      </c>
      <c r="E113" s="1" t="n">
        <v>46316</v>
      </c>
      <c r="F113" t="inlineStr">
        <is>
          <t>VÄSTRA GÖTALANDS LÄN</t>
        </is>
      </c>
      <c r="G113" t="inlineStr">
        <is>
          <t>ORUST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24605-2026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46170</v>
      </c>
      <c r="E114" s="1" t="n">
        <v>46316</v>
      </c>
      <c r="F114" t="inlineStr">
        <is>
          <t>VÄSTRA GÖTALANDS LÄN</t>
        </is>
      </c>
      <c r="G114" t="inlineStr">
        <is>
          <t>ORUST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49072-2025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45937</v>
      </c>
      <c r="E115" s="1" t="n">
        <v>46316</v>
      </c>
      <c r="F115" t="inlineStr">
        <is>
          <t>VÄSTRA GÖTALANDS LÄN</t>
        </is>
      </c>
      <c r="G115" t="inlineStr">
        <is>
          <t>ORUST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45558</v>
      </c>
      <c r="E116" s="1" t="n">
        <v>46316</v>
      </c>
      <c r="F116" t="inlineStr">
        <is>
          <t>VÄSTRA GÖTALANDS LÄN</t>
        </is>
      </c>
      <c r="G116" t="inlineStr">
        <is>
          <t>ORUST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36404-2024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45535</v>
      </c>
      <c r="E117" s="1" t="n">
        <v>46316</v>
      </c>
      <c r="F117" t="inlineStr">
        <is>
          <t>VÄSTRA GÖTALANDS LÄN</t>
        </is>
      </c>
      <c r="G117" t="inlineStr">
        <is>
          <t>ORUST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25123-2026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46175</v>
      </c>
      <c r="E118" s="1" t="n">
        <v>46316</v>
      </c>
      <c r="F118" t="inlineStr">
        <is>
          <t>VÄSTRA GÖTALANDS LÄN</t>
        </is>
      </c>
      <c r="G118" t="inlineStr">
        <is>
          <t>ORUST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25138-2026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46175</v>
      </c>
      <c r="E119" s="1" t="n">
        <v>46316</v>
      </c>
      <c r="F119" t="inlineStr">
        <is>
          <t>VÄSTRA GÖTALANDS LÄN</t>
        </is>
      </c>
      <c r="G119" t="inlineStr">
        <is>
          <t>ORUST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57445-2024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45629</v>
      </c>
      <c r="E120" s="1" t="n">
        <v>46316</v>
      </c>
      <c r="F120" t="inlineStr">
        <is>
          <t>VÄSTRA GÖTALANDS LÄN</t>
        </is>
      </c>
      <c r="G120" t="inlineStr">
        <is>
          <t>ORUST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25963-2026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46181</v>
      </c>
      <c r="E121" s="1" t="n">
        <v>46316</v>
      </c>
      <c r="F121" t="inlineStr">
        <is>
          <t>VÄSTRA GÖTALANDS LÄN</t>
        </is>
      </c>
      <c r="G121" t="inlineStr">
        <is>
          <t>ORUST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49822-2022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44862</v>
      </c>
      <c r="E122" s="1" t="n">
        <v>46316</v>
      </c>
      <c r="F122" t="inlineStr">
        <is>
          <t>VÄSTRA GÖTALANDS LÄN</t>
        </is>
      </c>
      <c r="G122" t="inlineStr">
        <is>
          <t>ORUST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38322-2023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45161</v>
      </c>
      <c r="E123" s="1" t="n">
        <v>46316</v>
      </c>
      <c r="F123" t="inlineStr">
        <is>
          <t>VÄSTRA GÖTALANDS LÄN</t>
        </is>
      </c>
      <c r="G123" t="inlineStr">
        <is>
          <t>ORUST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40743-2024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45558</v>
      </c>
      <c r="E124" s="1" t="n">
        <v>46316</v>
      </c>
      <c r="F124" t="inlineStr">
        <is>
          <t>VÄSTRA GÖTALANDS LÄN</t>
        </is>
      </c>
      <c r="G124" t="inlineStr">
        <is>
          <t>ORUST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20819-2023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45058</v>
      </c>
      <c r="E125" s="1" t="n">
        <v>46316</v>
      </c>
      <c r="F125" t="inlineStr">
        <is>
          <t>VÄSTRA GÖTALANDS LÄN</t>
        </is>
      </c>
      <c r="G125" t="inlineStr">
        <is>
          <t>ORUST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34354-2023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45139</v>
      </c>
      <c r="E126" s="1" t="n">
        <v>46316</v>
      </c>
      <c r="F126" t="inlineStr">
        <is>
          <t>VÄSTRA GÖTALANDS LÄN</t>
        </is>
      </c>
      <c r="G126" t="inlineStr">
        <is>
          <t>ORUST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37948-2026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46280</v>
      </c>
      <c r="E127" s="1" t="n">
        <v>46316</v>
      </c>
      <c r="F127" t="inlineStr">
        <is>
          <t>VÄSTRA GÖTALANDS LÄN</t>
        </is>
      </c>
      <c r="G127" t="inlineStr">
        <is>
          <t>ORUST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6485-2024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45339</v>
      </c>
      <c r="E128" s="1" t="n">
        <v>46316</v>
      </c>
      <c r="F128" t="inlineStr">
        <is>
          <t>VÄSTRA GÖTALANDS LÄN</t>
        </is>
      </c>
      <c r="G128" t="inlineStr">
        <is>
          <t>ORUST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49617-2023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45211</v>
      </c>
      <c r="E129" s="1" t="n">
        <v>46316</v>
      </c>
      <c r="F129" t="inlineStr">
        <is>
          <t>VÄSTRA GÖTALANDS LÄN</t>
        </is>
      </c>
      <c r="G129" t="inlineStr">
        <is>
          <t>ORUST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23682-2024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45454</v>
      </c>
      <c r="E130" s="1" t="n">
        <v>46316</v>
      </c>
      <c r="F130" t="inlineStr">
        <is>
          <t>VÄSTRA GÖTALANDS LÄN</t>
        </is>
      </c>
      <c r="G130" t="inlineStr">
        <is>
          <t>ORUST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39206-2024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45548</v>
      </c>
      <c r="E131" s="1" t="n">
        <v>46316</v>
      </c>
      <c r="F131" t="inlineStr">
        <is>
          <t>VÄSTRA GÖTALANDS LÄN</t>
        </is>
      </c>
      <c r="G131" t="inlineStr">
        <is>
          <t>ORUST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33789-2026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46251</v>
      </c>
      <c r="E132" s="1" t="n">
        <v>46316</v>
      </c>
      <c r="F132" t="inlineStr">
        <is>
          <t>VÄSTRA GÖTALANDS LÄN</t>
        </is>
      </c>
      <c r="G132" t="inlineStr">
        <is>
          <t>ORUST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45334</v>
      </c>
      <c r="E133" s="1" t="n">
        <v>46316</v>
      </c>
      <c r="F133" t="inlineStr">
        <is>
          <t>VÄSTRA GÖTALANDS LÄN</t>
        </is>
      </c>
      <c r="G133" t="inlineStr">
        <is>
          <t>ORUST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34056-2024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45523</v>
      </c>
      <c r="E134" s="1" t="n">
        <v>46316</v>
      </c>
      <c r="F134" t="inlineStr">
        <is>
          <t>VÄSTRA GÖTALANDS LÄN</t>
        </is>
      </c>
      <c r="G134" t="inlineStr">
        <is>
          <t>ORUST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31029-2026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46213</v>
      </c>
      <c r="E135" s="1" t="n">
        <v>46316</v>
      </c>
      <c r="F135" t="inlineStr">
        <is>
          <t>VÄSTRA GÖTALANDS LÄN</t>
        </is>
      </c>
      <c r="G135" t="inlineStr">
        <is>
          <t>ORUST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41060-2026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46300</v>
      </c>
      <c r="E136" s="1" t="n">
        <v>46316</v>
      </c>
      <c r="F136" t="inlineStr">
        <is>
          <t>VÄSTRA GÖTALANDS LÄN</t>
        </is>
      </c>
      <c r="G136" t="inlineStr">
        <is>
          <t>ORUST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42145-2026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46304</v>
      </c>
      <c r="E137" s="1" t="n">
        <v>46316</v>
      </c>
      <c r="F137" t="inlineStr">
        <is>
          <t>VÄSTRA GÖTALANDS LÄN</t>
        </is>
      </c>
      <c r="G137" t="inlineStr">
        <is>
          <t>ORUST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42146-2026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46304</v>
      </c>
      <c r="E138" s="1" t="n">
        <v>46316</v>
      </c>
      <c r="F138" t="inlineStr">
        <is>
          <t>VÄSTRA GÖTALANDS LÄN</t>
        </is>
      </c>
      <c r="G138" t="inlineStr">
        <is>
          <t>ORUST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14547-2022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44655</v>
      </c>
      <c r="E139" s="1" t="n">
        <v>46316</v>
      </c>
      <c r="F139" t="inlineStr">
        <is>
          <t>VÄSTRA GÖTALANDS LÄN</t>
        </is>
      </c>
      <c r="G139" t="inlineStr">
        <is>
          <t>ORUST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18791-2023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45044</v>
      </c>
      <c r="E140" s="1" t="n">
        <v>46316</v>
      </c>
      <c r="F140" t="inlineStr">
        <is>
          <t>VÄSTRA GÖTALANDS LÄN</t>
        </is>
      </c>
      <c r="G140" t="inlineStr">
        <is>
          <t>ORUST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28109-2024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45476</v>
      </c>
      <c r="E141" s="1" t="n">
        <v>46316</v>
      </c>
      <c r="F141" t="inlineStr">
        <is>
          <t>VÄSTRA GÖTALANDS LÄN</t>
        </is>
      </c>
      <c r="G141" t="inlineStr">
        <is>
          <t>ORUST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63626-2023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45275</v>
      </c>
      <c r="E142" s="1" t="n">
        <v>46316</v>
      </c>
      <c r="F142" t="inlineStr">
        <is>
          <t>VÄSTRA GÖTALANDS LÄN</t>
        </is>
      </c>
      <c r="G142" t="inlineStr">
        <is>
          <t>ORUST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32175-2024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45511</v>
      </c>
      <c r="E143" s="1" t="n">
        <v>46316</v>
      </c>
      <c r="F143" t="inlineStr">
        <is>
          <t>VÄSTRA GÖTALANDS LÄN</t>
        </is>
      </c>
      <c r="G143" t="inlineStr">
        <is>
          <t>ORUST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34155-2024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45524</v>
      </c>
      <c r="E144" s="1" t="n">
        <v>46316</v>
      </c>
      <c r="F144" t="inlineStr">
        <is>
          <t>VÄSTRA GÖTALANDS LÄN</t>
        </is>
      </c>
      <c r="G144" t="inlineStr">
        <is>
          <t>ORUST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46708-2023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45198</v>
      </c>
      <c r="E145" s="1" t="n">
        <v>46316</v>
      </c>
      <c r="F145" t="inlineStr">
        <is>
          <t>VÄSTRA GÖTALANDS LÄN</t>
        </is>
      </c>
      <c r="G145" t="inlineStr">
        <is>
          <t>ORUST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43452-2026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46314</v>
      </c>
      <c r="E146" s="1" t="n">
        <v>46316</v>
      </c>
      <c r="F146" t="inlineStr">
        <is>
          <t>VÄSTRA GÖTALANDS LÄN</t>
        </is>
      </c>
      <c r="G146" t="inlineStr">
        <is>
          <t>ORUST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36428-2026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46269</v>
      </c>
      <c r="E147" s="1" t="n">
        <v>46316</v>
      </c>
      <c r="F147" t="inlineStr">
        <is>
          <t>VÄSTRA GÖTALANDS LÄN</t>
        </is>
      </c>
      <c r="G147" t="inlineStr">
        <is>
          <t>ORUST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62086-2022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44919</v>
      </c>
      <c r="E148" s="1" t="n">
        <v>46316</v>
      </c>
      <c r="F148" t="inlineStr">
        <is>
          <t>VÄSTRA GÖTALANDS LÄN</t>
        </is>
      </c>
      <c r="G148" t="inlineStr">
        <is>
          <t>ORUST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57878-2022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44899</v>
      </c>
      <c r="E149" s="1" t="n">
        <v>46316</v>
      </c>
      <c r="F149" t="inlineStr">
        <is>
          <t>VÄSTRA GÖTALANDS LÄN</t>
        </is>
      </c>
      <c r="G149" t="inlineStr">
        <is>
          <t>ORUST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14802-2023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45014</v>
      </c>
      <c r="E150" s="1" t="n">
        <v>46316</v>
      </c>
      <c r="F150" t="inlineStr">
        <is>
          <t>VÄSTRA GÖTALANDS LÄN</t>
        </is>
      </c>
      <c r="G150" t="inlineStr">
        <is>
          <t>ORUST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2632-2024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45313</v>
      </c>
      <c r="E151" s="1" t="n">
        <v>46316</v>
      </c>
      <c r="F151" t="inlineStr">
        <is>
          <t>VÄSTRA GÖTALANDS LÄN</t>
        </is>
      </c>
      <c r="G151" t="inlineStr">
        <is>
          <t>ORUST</t>
        </is>
      </c>
      <c r="I151" t="n">
        <v>8.199999999999999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33454-2023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45130</v>
      </c>
      <c r="E152" s="1" t="n">
        <v>46316</v>
      </c>
      <c r="F152" t="inlineStr">
        <is>
          <t>VÄSTRA GÖTALANDS LÄN</t>
        </is>
      </c>
      <c r="G152" t="inlineStr">
        <is>
          <t>ORUST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>
      <c r="A153" t="inlineStr">
        <is>
          <t>S 2776-2025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45937</v>
      </c>
      <c r="E153" s="1" t="n">
        <v>46316</v>
      </c>
      <c r="F153" t="inlineStr">
        <is>
          <t>VÄSTRA GÖTALANDS LÄN</t>
        </is>
      </c>
      <c r="G153" t="inlineStr">
        <is>
          <t>ORUST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2026-10-21T02:05:55Z</dcterms:created>
  <dcterms:modified xmlns:dcterms="http://purl.org/dc/terms/" xmlns:xsi="http://www.w3.org/2001/XMLSchema-instance" xsi:type="dcterms:W3CDTF">2026-10-21T02:05:56Z</dcterms:modified>
</cp:coreProperties>
</file>